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59706fb0152c6d/Desktop/BUDGET/2026/"/>
    </mc:Choice>
  </mc:AlternateContent>
  <xr:revisionPtr revIDLastSave="2016" documentId="8_{09355C44-89CB-488A-BB21-8DE5232B736C}" xr6:coauthVersionLast="47" xr6:coauthVersionMax="47" xr10:uidLastSave="{54EB827A-61FF-4816-AFDA-50BDD8F84531}"/>
  <bookViews>
    <workbookView xWindow="28680" yWindow="-120" windowWidth="29040" windowHeight="16440" activeTab="1" xr2:uid="{6A122ACA-E9AC-4C58-B0E2-DFCC91437B7B}"/>
  </bookViews>
  <sheets>
    <sheet name="Logbook" sheetId="4" r:id="rId1"/>
    <sheet name="DashBoard" sheetId="5" r:id="rId2"/>
    <sheet name="AUDITS" sheetId="6" r:id="rId3"/>
  </sheets>
  <definedNames>
    <definedName name="ActualNumberOfPayments">IFERROR(IF(LoanIsGood,IF(PaymentsPerYear=1,1,MATCH(0.01,End_Bal,-1)+1)),"")</definedName>
    <definedName name="ColumnTitle1">#REF!</definedName>
    <definedName name="End_Bal">#REF!</definedName>
    <definedName name="ExtraPayments">#REF!</definedName>
    <definedName name="glide_00ecbaa0b2c84c008d434583999b8a9f" comment="🔒 Row ID" localSheetId="1">DashBoard!$U$2:$U$2</definedName>
    <definedName name="glide_01231e27423a4d19927bf5c0a67d695c" comment="🔒 Row ID" localSheetId="0">Logbook!$P$1:$P$1</definedName>
    <definedName name="glide_016b48bf48e84077ae87d5bbbd13dda4" comment="🔒 Row ID" localSheetId="0">Logbook!$N$1:$N$1</definedName>
    <definedName name="glide_0961cbeebbd842df8840ad9628455d4c" comment="🔒 Row ID" localSheetId="0">Logbook!$P$1:$P$1</definedName>
    <definedName name="glide_0b8e5f95fb7f4dcc99928ecc360daa45" comment="column1" localSheetId="1">DashBoard!$A$1:$A$1</definedName>
    <definedName name="glide_0ebe0973bf69476982dd5f296fa27b28" comment="🔒 Row ID" localSheetId="1">DashBoard!$U$2:$U$2</definedName>
    <definedName name="glide_0f6e0725a29644c1a5f41538835f78b2" comment="🔒 Row ID" localSheetId="0">Logbook!$P$1:$P$1</definedName>
    <definedName name="glide_12cf271462ce44efb12900ad1433627d" comment="🔒 Row ID" localSheetId="0">Logbook!$P$1:$P$1</definedName>
    <definedName name="glide_1479b9e9a41d4bc0a47ca1d570bf1144" comment="🔒 Row ID" localSheetId="0">Logbook!$O$1:$O$1</definedName>
    <definedName name="glide_17544aacabf2444d91d09ed391be1ca4" comment="column18" localSheetId="1">DashBoard!$R$1:$R$1</definedName>
    <definedName name="glide_200fdd3f7b3e403b8ab01ac96c545f21" comment="🔒 Row ID" localSheetId="0">Logbook!$N$1:$N$1</definedName>
    <definedName name="glide_20dd35ea38b049f7b724b8dd45fd8ae6" comment="🔒 Row ID" localSheetId="0">Logbook!$P$1:$P$1</definedName>
    <definedName name="glide_21a1154f2e7e48d296d491f1a2540ed1" comment="CREDIT" localSheetId="0">Logbook!$H$1:$H$1</definedName>
    <definedName name="glide_22e78951478c47f1a6252298c89a55cb" comment="🔒 Row ID" localSheetId="0">Logbook!$N$1:$N$1</definedName>
    <definedName name="glide_2461b56181b845a584c589f7f27a2d84" comment="🔒 Row ID" localSheetId="0">Logbook!$N$1:$N$1</definedName>
    <definedName name="glide_2a8b0c97df3243ec90e94c41f97d97f8" comment="🔒 Row ID" localSheetId="0">Logbook!$N$1:$N$1</definedName>
    <definedName name="glide_2c2aabc9c7904f78b801b8626844a862" comment="🔒 Row ID" localSheetId="0">Logbook!$N$1:$N$1</definedName>
    <definedName name="glide_2cb563fc7d0b4786a010bfe49de51d24" comment="column15" localSheetId="0">Logbook!$P$1:$P$1</definedName>
    <definedName name="glide_2eef8a71e9534310b193a84711c40deb" comment="🔒 Row ID" localSheetId="0">Logbook!$P$1:$P$1</definedName>
    <definedName name="glide_319f432e170d480b904def11ffc733c5" comment="🔒 Row ID" localSheetId="0">Logbook!$P$1:$P$1</definedName>
    <definedName name="glide_32a09c40d73b46e286a56a5762cfaae9" comment="🔒 Row ID" localSheetId="1">DashBoard!$U$2:$U$2</definedName>
    <definedName name="glide_37a84199b6494d1c9b2fea285d8f0c95" comment="🔒 Row ID A" localSheetId="0">Logbook!$Q$1:$Q$1</definedName>
    <definedName name="glide_3ba97481672142c0ac5dbb8b02dc8175" comment="column9" localSheetId="0">Logbook!#REF!</definedName>
    <definedName name="glide_3bdbb129c738451ba5266aeb951ecbf3" comment="decription" localSheetId="0">Logbook!$C$1:$C$1</definedName>
    <definedName name="glide_3ff960c061b14cc1801ffbd85dcc311a" comment="column11" localSheetId="1">DashBoard!$K$1:$K$1</definedName>
    <definedName name="glide_4375775089a14cc2b5ee290f31b56b65" comment="🔒 Row ID" localSheetId="0">Logbook!$P$1:$P$1</definedName>
    <definedName name="glide_47dbf5e5ef63471f9bf658476c4dff4e" comment="column12" localSheetId="0">Logbook!#REF!</definedName>
    <definedName name="glide_4f06ccf343e84520ad411c0dfad66254" comment="column5" localSheetId="1">DashBoard!$E$1:$E$1</definedName>
    <definedName name="glide_4f63f1dd00ff42b0a6d24abab7fefeb1" comment="column10" localSheetId="1">DashBoard!$J$1:$J$1</definedName>
    <definedName name="glide_4fd8f42d3a334a7a9b2f904fd08b3964" comment="income" localSheetId="0">Logbook!$E$1:$E$1</definedName>
    <definedName name="glide_4fdc0d63e2f34daa8fa04a1e156ed65c" comment="date" localSheetId="0">Logbook!$B$1:$B$1</definedName>
    <definedName name="glide_516d05c4611a4d1c9db73a9e465ba188" comment="Month To Date" localSheetId="1">DashBoard!$B$1:$B$1</definedName>
    <definedName name="glide_579c5faa0945416f9d4922972787ca86" comment="column3" localSheetId="1">DashBoard!$C$1:$C$1</definedName>
    <definedName name="glide_5ac54bb748fc4c50ab9105c9881f337b" comment="column14" localSheetId="1">DashBoard!$N$1:$N$1</definedName>
    <definedName name="glide_5cffb6e9effb4beca41468a35e0573fb" comment="🔒 Row ID" localSheetId="0">Logbook!$P$1:$P$1</definedName>
    <definedName name="glide_60612eb9e63a496ab3a06d96a5a379a0" comment="🔒 Row ID" localSheetId="0">Logbook!$P$1:$P$1</definedName>
    <definedName name="glide_608177821a0c4ca9904aa82a545d60f5" comment="🔒 Row ID" localSheetId="0">Logbook!$P$1:$P$1</definedName>
    <definedName name="glide_610b1770d33044febcbe95eee50d249a" comment="🔒 Row ID" localSheetId="1">DashBoard!$U$2:$U$2</definedName>
    <definedName name="glide_6218e469c0034e6d81c8c7b74532dd63" comment="category" localSheetId="0">Logbook!$D$1:$D$1</definedName>
    <definedName name="glide_6454d33dc1724e17a4d25bdcc7bb7eee" comment="🔒 Row ID" localSheetId="0">Logbook!$P$1:$P$1</definedName>
    <definedName name="glide_647a73e52b9249c8865b09423401584d" comment="🔒 Row ID" localSheetId="0">Logbook!$Q$1:$Q$1</definedName>
    <definedName name="glide_662525cf860b43cdadcaf44e1b4fcbc6" comment="🔒 Row ID" localSheetId="0">Logbook!$N$1:$N$1</definedName>
    <definedName name="glide_6a8f66c2ec4747e9a3f854d1fb45b496" comment="🔒 Row ID" localSheetId="0">Logbook!$N$1:$N$1</definedName>
    <definedName name="glide_6aa23990460f44e8b3c7680a3aea0aaf" comment="🔒 Row ID" localSheetId="0">Logbook!$P$1:$P$1</definedName>
    <definedName name="glide_6abbfa5c693940d686000f0c5ee08e96" comment="🔒 Row ID" localSheetId="0">Logbook!$O$1:$O$1</definedName>
    <definedName name="glide_6d48afcffd94422d8835b9d1636634ce" comment="column8" localSheetId="1">DashBoard!$H$1:$H$1</definedName>
    <definedName name="glide_71a33385b16d454a90620a5957a478f2" comment="column12" localSheetId="1">DashBoard!$L$1:$L$1</definedName>
    <definedName name="glide_71fb8449560448c18b4f566b6eb4d132" comment="🔒 Row ID" localSheetId="0">Logbook!$P$1:$P$1</definedName>
    <definedName name="glide_7289864bc75543eea1c3ee43f70d5c52" comment="🔒 Row ID" localSheetId="0">Logbook!$P$1:$P$1</definedName>
    <definedName name="glide_759916d5c7f54999b0f873e8e1cb9ae8" comment="column13" localSheetId="0">Logbook!$N$1:$N$1</definedName>
    <definedName name="glide_75a45a97287a443b9c537523dfd61118" comment="🔒 Row ID" localSheetId="0">Logbook!$P$1:$P$1</definedName>
    <definedName name="glide_7767be906adf4ba489025caaf5e5b208" comment="🔒 Row ID" localSheetId="1">DashBoard!$U$2:$U$2</definedName>
    <definedName name="glide_77f0bcdc65d141bab08b640711a365fa" comment="🔒 Row ID" localSheetId="1">DashBoard!$U$2:$U$2</definedName>
    <definedName name="glide_7b1464ce45484f92a3136a78e778a8f6" comment="column15" localSheetId="1">DashBoard!$O$1:$O$1</definedName>
    <definedName name="glide_82be476acfc044399ae2b5eb244b1688" comment="🔒 Row ID" localSheetId="0">Logbook!$P$1:$P$1</definedName>
    <definedName name="glide_83d31ef064f9425bb8f15220fe91005c" comment="🔒 Row ID" localSheetId="0">Logbook!$N$1:$N$1</definedName>
    <definedName name="glide_847f4b25640e4138b9ce2ed57b106c9e" comment="🔒 Row ID" localSheetId="1">DashBoard!$U$2:$U$2</definedName>
    <definedName name="glide_848b638b592143629fa7efb694369c3c" comment="🔒 Row ID" localSheetId="0">Logbook!$N$1:$N$1</definedName>
    <definedName name="glide_8c1c6ae77fc44707ae49b357011dccf7" comment="🔒 Row ID" localSheetId="0">Logbook!$N$1:$N$1</definedName>
    <definedName name="glide_8cd5ef58649f4c65b0e520b6af565e41" comment="🔒 Row ID" localSheetId="0">Logbook!$P$1:$P$1</definedName>
    <definedName name="glide_8e01c7babdca453dbdc89630d125db47" comment="column14" localSheetId="0">Logbook!$O$1:$O$1</definedName>
    <definedName name="glide_8ff8237d7ed94c02a45e7d10b36a00ef" comment="🔒 Row ID" localSheetId="0">Logbook!$P$1:$P$1</definedName>
    <definedName name="glide_9117b05bfddf4501928bf7bc35a22f67" comment="🔒 Row ID" localSheetId="0">Logbook!$O$1:$O$1</definedName>
    <definedName name="glide_93e16fc895f040ce8343c8ea12892842" comment="column11" localSheetId="0">Logbook!#REF!</definedName>
    <definedName name="glide_a1cb94810d8e4bf8b457f2532acede87" comment="Year To Date" localSheetId="1">DashBoard!$G$1:$G$1</definedName>
    <definedName name="glide_a1e3dda8a0ae4c7199cf4753fcd6383a" comment="🔒 Row ID" localSheetId="0">Logbook!$P$1:$P$1</definedName>
    <definedName name="glide_a30f614cc36d4885949bc07d916d74db" comment="🔒 Row ID" localSheetId="1">DashBoard!$U$2:$U$2</definedName>
    <definedName name="glide_a6be318a40c04443b0d41a9a50bf8d3d" comment="🔒 Row ID" localSheetId="0">Logbook!$N$1:$N$1</definedName>
    <definedName name="glide_ab5831a0cb9c49faa1a73a5934dab666" comment="🔒 Row ID" localSheetId="1">DashBoard!$U$2:$U$2</definedName>
    <definedName name="glide_adec09b739a7473181a21c0d8fac114c" comment="column9" localSheetId="1">DashBoard!$I$1:$I$1</definedName>
    <definedName name="glide_b013882df5ed4792b72f00f0438df81b" comment="column10" localSheetId="0">Logbook!#REF!</definedName>
    <definedName name="glide_b03438c5699044869e367237a86dfac1" comment="column13" localSheetId="1">DashBoard!$M$1:$M$1</definedName>
    <definedName name="glide_b63ea2f27e4c48a0a76620ceb1e99533" comment="🔒 Row ID" localSheetId="0">Logbook!$N$1:$N$1</definedName>
    <definedName name="glide_b6f96c6d89af44ccb6bd703be5c9dfa9" comment="🔒 Row ID" localSheetId="0">Logbook!$P$1:$P$1</definedName>
    <definedName name="glide_ba71c2bd59134856a06201297656738c" comment="column19" localSheetId="1">DashBoard!$S$1:$S$1</definedName>
    <definedName name="glide_bd86517308df4a5cb8a96222aed70092" comment="🔒 Row ID" localSheetId="1">DashBoard!$U$2:$U$2</definedName>
    <definedName name="glide_bdaea6e67a2246bb9e9e590fee3bf41a" comment="🔒 Row ID" localSheetId="1">DashBoard!$U$2:$U$2</definedName>
    <definedName name="glide_c24e0eeef6b540b89a7ba725228cabc5" comment="🔒 Row ID" localSheetId="1">DashBoard!$U$2:$U$2</definedName>
    <definedName name="glide_c2c6632131cf430b8ffd5eb51422c80a" comment="🔒 Row ID" localSheetId="0">Logbook!$N$1:$N$1</definedName>
    <definedName name="glide_c33efa6528a8407c977ff6aa410f5641" comment="column14 A" localSheetId="0">Logbook!$O$1:$O$1</definedName>
    <definedName name="glide_c89c5c980c5c4d0794948882040370a9" comment="month" localSheetId="0">Logbook!$A$1:$A$1</definedName>
    <definedName name="glide_c9e6abeeecb9465b8b538c55a63814e0" comment="🔒 Row ID" localSheetId="0">Logbook!$P$1:$P$1</definedName>
    <definedName name="glide_ca4838ce928e4278ab8bb2ef3e6d5b88" comment="column17" localSheetId="1">DashBoard!$Q$1:$Q$1</definedName>
    <definedName name="glide_cc059be8425d4305b2ba39cba823411a" comment="column20" localSheetId="1">DashBoard!$T$1:$T$1</definedName>
    <definedName name="glide_ce700abcb5d94262886365d54276d2b0" comment="🔒 Row ID B" localSheetId="0">Logbook!$Q$1:$Q$1</definedName>
    <definedName name="glide_ceeb1926da434a6a8ebad2c276605393" comment="🔒 Row ID" localSheetId="1">DashBoard!$U$2:$U$2</definedName>
    <definedName name="glide_cf8cc24b0cac416e9fcb1cb3e3170858" comment="🔒 Row ID" localSheetId="0">Logbook!$N$1:$N$1</definedName>
    <definedName name="glide_d3b1cdbfd8614dd1a050e61fdc6bb62e" comment="debit" localSheetId="0">Logbook!$F$1:$F$1</definedName>
    <definedName name="glide_d7c876a2cc614fef9db8dfa4a6eb760d" comment="🔒 Row ID" localSheetId="1">DashBoard!$U$2:$U$2</definedName>
    <definedName name="glide_d8d12facfd39420496abfc4c9c438f72" comment="🔒 Row ID" localSheetId="1">DashBoard!$U$2:$U$2</definedName>
    <definedName name="glide_d8e08b3dadd9436d9c3bc8fdcf020965" comment="🔒 Row ID" localSheetId="0">Logbook!$P$1:$P$1</definedName>
    <definedName name="glide_d9cdda7b6a2e40d5947d54fd0da81902" comment="🔒 Row ID" localSheetId="1">DashBoard!$U$2:$U$2</definedName>
    <definedName name="glide_db345101c0304addbbe3bd0557d95196" comment="column16" localSheetId="1">DashBoard!$P$1:$P$1</definedName>
    <definedName name="glide_db3e02b392f349bbae7d5a92a2f1e667" comment="🔒 Row ID" localSheetId="1">DashBoard!$U$2:$U$2</definedName>
    <definedName name="glide_dee1523ca90240c5826c7a562bc46fa4" comment="🔒 Row ID" localSheetId="0">Logbook!$P$1:$P$1</definedName>
    <definedName name="glide_dfa702dec6bb43d9a8a0deef553b8683" comment="column4" localSheetId="1">DashBoard!$D$1:$D$1</definedName>
    <definedName name="glide_e456536cba634e03bcb9084970b5bdcc" comment="🔒 Row ID" localSheetId="0">Logbook!$O$1:$O$1</definedName>
    <definedName name="glide_e7eb97c9ba5247d3acb584d83655887b" comment="🔒 Row ID" localSheetId="0">Logbook!$N$1:$N$1</definedName>
    <definedName name="glide_e99adaad148849e091613f99e1db29f6" comment="balance" localSheetId="0">Logbook!$G$1:$G$1</definedName>
    <definedName name="glide_e9d8af9e353f4732932023e4905ce310" comment="🔒 Row ID" localSheetId="0">Logbook!$N$1:$N$1</definedName>
    <definedName name="glide_ea5df70b90264d48a59070be956399ce" comment="🔒 Row ID" localSheetId="0">Logbook!$P$1:$P$1</definedName>
    <definedName name="glide_f075ee977e484153ada0f7c9663e63b4" comment="🔒 Row ID" localSheetId="1">DashBoard!$U$2:$U$2</definedName>
    <definedName name="glide_f4997af807174acf8b5133c7aa925f1e" comment="column15 A" localSheetId="0">Logbook!$P$1:$P$1</definedName>
    <definedName name="glide_f558793ff9cf42c198fc9787876584b5" comment="column6" localSheetId="1">DashBoard!$F$1:$F$1</definedName>
    <definedName name="glide_f5c3b83298c847e29e9193d51e5fde57" comment="🔒 Row ID" localSheetId="0">Logbook!$O$1:$O$1</definedName>
    <definedName name="glide_fbfd6560e20b453ea4e2c790d77b103e" comment="🔒 Row ID" localSheetId="1">DashBoard!$U$2:$U$2</definedName>
    <definedName name="InterestRate">#REF!</definedName>
    <definedName name="LastCol">MATCH(REPT("z",255),#REF!)</definedName>
    <definedName name="LastRow">MATCH(9.99E+307,#REF!)</definedName>
    <definedName name="LenderName">#REF!</definedName>
    <definedName name="LoanAmount">#REF!</definedName>
    <definedName name="LoanIsGood">(#REF!*#REF!*#REF!*#REF!)&gt;0</definedName>
    <definedName name="LoanPeriod">#REF!</definedName>
    <definedName name="LoanStartDate">#REF!</definedName>
    <definedName name="PaymentsPerYear">#REF!</definedName>
    <definedName name="PrintArea_SET">OFFSET(#REF!,,,LastRow,LastCol)</definedName>
    <definedName name="RowTitleRegion1..E9">#REF!</definedName>
    <definedName name="RowTitleRegion2..I7">#REF!</definedName>
    <definedName name="RowTitleRegion3..E9">#REF!</definedName>
    <definedName name="RowTitleRegion4..H9">#REF!</definedName>
    <definedName name="ScheduledNumberOfPayments">#REF!</definedName>
    <definedName name="ScheduledPayment">#REF!</definedName>
    <definedName name="TotalEarlyPayments">SUM(#REF!)</definedName>
    <definedName name="TotalInterest">SUM(#REF!)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5" l="1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2" i="4"/>
  <c r="A73" i="4"/>
  <c r="A74" i="4"/>
  <c r="A75" i="4"/>
  <c r="A71" i="4"/>
  <c r="A52" i="4"/>
  <c r="A76" i="4"/>
  <c r="A77" i="4"/>
  <c r="A78" i="4"/>
  <c r="A79" i="4"/>
  <c r="A80" i="4"/>
  <c r="A81" i="4"/>
  <c r="A83" i="4"/>
  <c r="A84" i="4"/>
  <c r="A85" i="4"/>
  <c r="A86" i="4"/>
  <c r="A87" i="4"/>
  <c r="A88" i="4"/>
  <c r="A89" i="4"/>
  <c r="A90" i="4"/>
  <c r="A91" i="4"/>
  <c r="A92" i="4"/>
  <c r="A93" i="4"/>
  <c r="A104" i="4"/>
  <c r="A94" i="4"/>
  <c r="A82" i="4"/>
  <c r="A95" i="4"/>
  <c r="A96" i="4"/>
  <c r="A97" i="4"/>
  <c r="A98" i="4"/>
  <c r="A99" i="4"/>
  <c r="A100" i="4"/>
  <c r="A101" i="4"/>
  <c r="A102" i="4"/>
  <c r="A103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D11" i="5"/>
  <c r="L20" i="4"/>
  <c r="D31" i="5" l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l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K10" i="4"/>
  <c r="M10" i="4" s="1"/>
  <c r="K11" i="4"/>
  <c r="M11" i="4" s="1"/>
  <c r="O29" i="5"/>
  <c r="P29" i="5"/>
  <c r="Q29" i="5"/>
  <c r="R29" i="5"/>
  <c r="C29" i="5"/>
  <c r="E29" i="5" s="1"/>
  <c r="G29" i="5"/>
  <c r="H29" i="5"/>
  <c r="I29" i="5"/>
  <c r="J29" i="5"/>
  <c r="K29" i="5"/>
  <c r="L29" i="5"/>
  <c r="M29" i="5"/>
  <c r="N29" i="5"/>
  <c r="K19" i="4"/>
  <c r="N21" i="5"/>
  <c r="O21" i="5"/>
  <c r="P21" i="5"/>
  <c r="Q21" i="5"/>
  <c r="R21" i="5"/>
  <c r="C21" i="5"/>
  <c r="E21" i="5" s="1"/>
  <c r="G21" i="5"/>
  <c r="H21" i="5"/>
  <c r="I21" i="5"/>
  <c r="J21" i="5"/>
  <c r="K21" i="5"/>
  <c r="L21" i="5"/>
  <c r="M21" i="5"/>
  <c r="Q28" i="5"/>
  <c r="H28" i="5"/>
  <c r="I28" i="5"/>
  <c r="G28" i="5"/>
  <c r="O22" i="5"/>
  <c r="P22" i="5"/>
  <c r="Q22" i="5"/>
  <c r="R22" i="5"/>
  <c r="G22" i="5"/>
  <c r="H22" i="5"/>
  <c r="I22" i="5"/>
  <c r="M22" i="5"/>
  <c r="O8" i="5"/>
  <c r="N8" i="5"/>
  <c r="P7" i="5"/>
  <c r="Q7" i="5"/>
  <c r="R7" i="5"/>
  <c r="C7" i="5"/>
  <c r="G7" i="5"/>
  <c r="I30" i="5"/>
  <c r="R30" i="5"/>
  <c r="Q30" i="5"/>
  <c r="C22" i="5"/>
  <c r="E22" i="5" s="1"/>
  <c r="J22" i="5"/>
  <c r="K22" i="5"/>
  <c r="L22" i="5"/>
  <c r="N22" i="5"/>
  <c r="J8" i="5"/>
  <c r="I8" i="5"/>
  <c r="H8" i="5"/>
  <c r="G8" i="5"/>
  <c r="C8" i="5"/>
  <c r="R8" i="5"/>
  <c r="Q8" i="5"/>
  <c r="P8" i="5"/>
  <c r="C30" i="5"/>
  <c r="E30" i="5" s="1"/>
  <c r="P30" i="5"/>
  <c r="O30" i="5"/>
  <c r="N30" i="5"/>
  <c r="M30" i="5"/>
  <c r="L30" i="5"/>
  <c r="K30" i="5"/>
  <c r="J30" i="5"/>
  <c r="Q9" i="5"/>
  <c r="P9" i="5"/>
  <c r="O9" i="5"/>
  <c r="N9" i="5"/>
  <c r="M9" i="5"/>
  <c r="M8" i="5"/>
  <c r="L8" i="5"/>
  <c r="K8" i="5"/>
  <c r="O24" i="5"/>
  <c r="L24" i="5"/>
  <c r="J24" i="5"/>
  <c r="Q24" i="5"/>
  <c r="I24" i="5"/>
  <c r="P24" i="5"/>
  <c r="H30" i="5"/>
  <c r="G30" i="5"/>
  <c r="L9" i="5"/>
  <c r="K9" i="5"/>
  <c r="J9" i="5"/>
  <c r="I9" i="5"/>
  <c r="H9" i="5"/>
  <c r="G9" i="5"/>
  <c r="C9" i="5"/>
  <c r="R9" i="5"/>
  <c r="R10" i="5"/>
  <c r="Q10" i="5"/>
  <c r="P10" i="5"/>
  <c r="O10" i="5"/>
  <c r="N10" i="5"/>
  <c r="M10" i="5"/>
  <c r="L10" i="5"/>
  <c r="K10" i="5"/>
  <c r="J10" i="5"/>
  <c r="I10" i="5"/>
  <c r="H10" i="5"/>
  <c r="G10" i="5"/>
  <c r="C10" i="5"/>
  <c r="H20" i="5"/>
  <c r="C20" i="5"/>
  <c r="E20" i="5" s="1"/>
  <c r="G20" i="5"/>
  <c r="I20" i="5"/>
  <c r="J20" i="5"/>
  <c r="K20" i="5"/>
  <c r="L20" i="5"/>
  <c r="M20" i="5"/>
  <c r="N20" i="5"/>
  <c r="O20" i="5"/>
  <c r="P20" i="5"/>
  <c r="Q20" i="5"/>
  <c r="R20" i="5"/>
  <c r="C6" i="5"/>
  <c r="H6" i="5"/>
  <c r="I6" i="5"/>
  <c r="J6" i="5"/>
  <c r="K6" i="5"/>
  <c r="L6" i="5"/>
  <c r="M6" i="5"/>
  <c r="N6" i="5"/>
  <c r="O6" i="5"/>
  <c r="P6" i="5"/>
  <c r="Q6" i="5"/>
  <c r="R6" i="5"/>
  <c r="G6" i="5"/>
  <c r="C5" i="5"/>
  <c r="L5" i="5"/>
  <c r="M5" i="5"/>
  <c r="N5" i="5"/>
  <c r="O5" i="5"/>
  <c r="P5" i="5"/>
  <c r="Q5" i="5"/>
  <c r="R5" i="5"/>
  <c r="H5" i="5"/>
  <c r="I5" i="5"/>
  <c r="J5" i="5"/>
  <c r="G5" i="5"/>
  <c r="K5" i="5"/>
  <c r="C26" i="5"/>
  <c r="E26" i="5" s="1"/>
  <c r="P26" i="5"/>
  <c r="O26" i="5"/>
  <c r="L26" i="5"/>
  <c r="K26" i="5"/>
  <c r="I26" i="5"/>
  <c r="G26" i="5"/>
  <c r="H26" i="5"/>
  <c r="J26" i="5"/>
  <c r="M26" i="5"/>
  <c r="N26" i="5"/>
  <c r="Q26" i="5"/>
  <c r="R26" i="5"/>
  <c r="N19" i="5"/>
  <c r="C19" i="5"/>
  <c r="E19" i="5" s="1"/>
  <c r="O19" i="5"/>
  <c r="P19" i="5"/>
  <c r="R19" i="5"/>
  <c r="G19" i="5"/>
  <c r="H19" i="5"/>
  <c r="I19" i="5"/>
  <c r="J19" i="5"/>
  <c r="K19" i="5"/>
  <c r="L19" i="5"/>
  <c r="M19" i="5"/>
  <c r="Q19" i="5"/>
  <c r="C27" i="5"/>
  <c r="E27" i="5" s="1"/>
  <c r="N27" i="5"/>
  <c r="O27" i="5"/>
  <c r="P27" i="5"/>
  <c r="R27" i="5"/>
  <c r="G27" i="5"/>
  <c r="H27" i="5"/>
  <c r="I27" i="5"/>
  <c r="J27" i="5"/>
  <c r="K27" i="5"/>
  <c r="L27" i="5"/>
  <c r="M27" i="5"/>
  <c r="Q27" i="5"/>
  <c r="H14" i="5"/>
  <c r="I14" i="5"/>
  <c r="K14" i="5"/>
  <c r="L14" i="5"/>
  <c r="M14" i="5"/>
  <c r="N14" i="5"/>
  <c r="O14" i="5"/>
  <c r="P14" i="5"/>
  <c r="Q14" i="5"/>
  <c r="R14" i="5"/>
  <c r="C14" i="5"/>
  <c r="E14" i="5" s="1"/>
  <c r="G14" i="5"/>
  <c r="J14" i="5"/>
  <c r="P25" i="5"/>
  <c r="G25" i="5"/>
  <c r="M25" i="5"/>
  <c r="N25" i="5"/>
  <c r="O25" i="5"/>
  <c r="Q25" i="5"/>
  <c r="R25" i="5"/>
  <c r="C25" i="5"/>
  <c r="E25" i="5" s="1"/>
  <c r="H25" i="5"/>
  <c r="I25" i="5"/>
  <c r="L25" i="5"/>
  <c r="J25" i="5"/>
  <c r="K25" i="5"/>
  <c r="G23" i="5"/>
  <c r="C23" i="5"/>
  <c r="E23" i="5" s="1"/>
  <c r="N23" i="5"/>
  <c r="M23" i="5"/>
  <c r="I23" i="5"/>
  <c r="P23" i="5"/>
  <c r="J23" i="5"/>
  <c r="K23" i="5"/>
  <c r="L23" i="5"/>
  <c r="O23" i="5"/>
  <c r="Q23" i="5"/>
  <c r="R23" i="5"/>
  <c r="H23" i="5"/>
  <c r="L17" i="5"/>
  <c r="C17" i="5"/>
  <c r="E17" i="5" s="1"/>
  <c r="H17" i="5"/>
  <c r="I17" i="5"/>
  <c r="J17" i="5"/>
  <c r="K17" i="5"/>
  <c r="M17" i="5"/>
  <c r="N17" i="5"/>
  <c r="O17" i="5"/>
  <c r="P17" i="5"/>
  <c r="Q17" i="5"/>
  <c r="R17" i="5"/>
  <c r="G17" i="5"/>
  <c r="Q16" i="5"/>
  <c r="H16" i="5"/>
  <c r="O16" i="5"/>
  <c r="P16" i="5"/>
  <c r="C16" i="5"/>
  <c r="E16" i="5" s="1"/>
  <c r="R16" i="5"/>
  <c r="G16" i="5"/>
  <c r="I16" i="5"/>
  <c r="J16" i="5"/>
  <c r="K16" i="5"/>
  <c r="L16" i="5"/>
  <c r="M16" i="5"/>
  <c r="N16" i="5"/>
  <c r="P18" i="5"/>
  <c r="M18" i="5"/>
  <c r="C18" i="5"/>
  <c r="E18" i="5" s="1"/>
  <c r="K18" i="5"/>
  <c r="L18" i="5"/>
  <c r="N18" i="5"/>
  <c r="O18" i="5"/>
  <c r="Q18" i="5"/>
  <c r="R18" i="5"/>
  <c r="G18" i="5"/>
  <c r="H18" i="5"/>
  <c r="I18" i="5"/>
  <c r="J18" i="5"/>
  <c r="Q15" i="5"/>
  <c r="C15" i="5"/>
  <c r="E15" i="5" s="1"/>
  <c r="I15" i="5"/>
  <c r="K15" i="5"/>
  <c r="L15" i="5"/>
  <c r="N15" i="5"/>
  <c r="O15" i="5"/>
  <c r="P15" i="5"/>
  <c r="R15" i="5"/>
  <c r="G15" i="5"/>
  <c r="H15" i="5"/>
  <c r="J15" i="5"/>
  <c r="M15" i="5"/>
  <c r="H7" i="5"/>
  <c r="I7" i="5"/>
  <c r="J7" i="5"/>
  <c r="K7" i="5"/>
  <c r="L7" i="5"/>
  <c r="M7" i="5"/>
  <c r="N7" i="5"/>
  <c r="O7" i="5"/>
  <c r="C28" i="5"/>
  <c r="E28" i="5" s="1"/>
  <c r="R28" i="5"/>
  <c r="P28" i="5"/>
  <c r="O28" i="5"/>
  <c r="N28" i="5"/>
  <c r="M28" i="5"/>
  <c r="L28" i="5"/>
  <c r="K28" i="5"/>
  <c r="K6" i="4"/>
  <c r="M6" i="4" s="1"/>
  <c r="K7" i="4"/>
  <c r="M7" i="4" s="1"/>
  <c r="K8" i="4"/>
  <c r="M8" i="4" s="1"/>
  <c r="K9" i="4"/>
  <c r="M9" i="4" s="1"/>
  <c r="K12" i="4"/>
  <c r="M12" i="4" s="1"/>
  <c r="K13" i="4"/>
  <c r="M13" i="4" s="1"/>
  <c r="K14" i="4"/>
  <c r="M14" i="4" s="1"/>
  <c r="K15" i="4"/>
  <c r="M15" i="4" s="1"/>
  <c r="K16" i="4"/>
  <c r="M16" i="4" s="1"/>
  <c r="K3" i="4"/>
  <c r="K17" i="4"/>
  <c r="M17" i="4" s="1"/>
  <c r="K18" i="4"/>
  <c r="K5" i="4"/>
  <c r="M5" i="4" s="1"/>
  <c r="K4" i="4"/>
  <c r="M4" i="4" s="1"/>
  <c r="K2" i="4"/>
  <c r="P31" i="5" l="1"/>
  <c r="L31" i="5"/>
  <c r="I31" i="5"/>
  <c r="O31" i="5"/>
  <c r="Q31" i="5"/>
  <c r="K20" i="4"/>
  <c r="S29" i="5"/>
  <c r="S21" i="5"/>
  <c r="S22" i="5"/>
  <c r="S14" i="5"/>
  <c r="S19" i="5"/>
  <c r="S15" i="5"/>
  <c r="C11" i="5"/>
  <c r="E11" i="5" s="1"/>
  <c r="S27" i="5"/>
  <c r="S5" i="5"/>
  <c r="M11" i="5"/>
  <c r="S6" i="5"/>
  <c r="S20" i="5"/>
  <c r="S17" i="5"/>
  <c r="H24" i="5"/>
  <c r="H31" i="5" s="1"/>
  <c r="K24" i="5"/>
  <c r="K31" i="5" s="1"/>
  <c r="M24" i="5"/>
  <c r="M31" i="5" s="1"/>
  <c r="N24" i="5"/>
  <c r="N31" i="5" s="1"/>
  <c r="C24" i="5"/>
  <c r="E24" i="5" s="1"/>
  <c r="E31" i="5" s="1"/>
  <c r="R24" i="5"/>
  <c r="R31" i="5" s="1"/>
  <c r="G24" i="5"/>
  <c r="G31" i="5" s="1"/>
  <c r="J28" i="5"/>
  <c r="J31" i="5" s="1"/>
  <c r="S18" i="5"/>
  <c r="S30" i="5"/>
  <c r="S10" i="5"/>
  <c r="O11" i="5"/>
  <c r="K11" i="5"/>
  <c r="Q11" i="5"/>
  <c r="L11" i="5"/>
  <c r="J11" i="5"/>
  <c r="S9" i="5"/>
  <c r="I11" i="5"/>
  <c r="S25" i="5"/>
  <c r="S16" i="5"/>
  <c r="P11" i="5"/>
  <c r="H11" i="5"/>
  <c r="S23" i="5"/>
  <c r="S26" i="5"/>
  <c r="N11" i="5"/>
  <c r="M3" i="4"/>
  <c r="M20" i="4" s="1"/>
  <c r="G11" i="5"/>
  <c r="S7" i="5"/>
  <c r="R11" i="5"/>
  <c r="S35" i="5" l="1"/>
  <c r="O34" i="5"/>
  <c r="M34" i="5"/>
  <c r="K34" i="5"/>
  <c r="S28" i="5"/>
  <c r="Q34" i="5"/>
  <c r="I34" i="5"/>
  <c r="S24" i="5"/>
  <c r="S31" i="5" s="1"/>
  <c r="J34" i="5"/>
  <c r="G34" i="5"/>
  <c r="C31" i="5"/>
  <c r="L34" i="5"/>
  <c r="H34" i="5"/>
  <c r="N34" i="5"/>
  <c r="R34" i="5"/>
  <c r="P34" i="5"/>
  <c r="S11" i="5"/>
  <c r="S34" i="5" l="1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 s="1"/>
  <c r="G116" i="4" s="1"/>
  <c r="G117" i="4"/>
  <c r="G118" i="4"/>
  <c r="G119" i="4"/>
  <c r="G120" i="4"/>
  <c r="G121" i="4"/>
  <c r="G122" i="4"/>
  <c r="G123" i="4"/>
  <c r="G124" i="4"/>
  <c r="G125" i="4"/>
  <c r="G126" i="4" s="1"/>
  <c r="G127" i="4" s="1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</calcChain>
</file>

<file path=xl/sharedStrings.xml><?xml version="1.0" encoding="utf-8"?>
<sst xmlns="http://schemas.openxmlformats.org/spreadsheetml/2006/main" count="474" uniqueCount="172">
  <si>
    <t>month</t>
  </si>
  <si>
    <t>date</t>
  </si>
  <si>
    <t xml:space="preserve">decription </t>
  </si>
  <si>
    <t>category</t>
  </si>
  <si>
    <t>income</t>
  </si>
  <si>
    <t>debit</t>
  </si>
  <si>
    <t>balance</t>
  </si>
  <si>
    <t>CREDIT</t>
  </si>
  <si>
    <t>Notes</t>
  </si>
  <si>
    <t>February</t>
  </si>
  <si>
    <t>Total</t>
  </si>
  <si>
    <t>Projected</t>
  </si>
  <si>
    <t>Difference</t>
  </si>
  <si>
    <t xml:space="preserve">Starting Ammount </t>
  </si>
  <si>
    <t>Income</t>
  </si>
  <si>
    <t>BJJ</t>
  </si>
  <si>
    <t>Subscriptions</t>
  </si>
  <si>
    <t>Tithe</t>
  </si>
  <si>
    <t>Water and Sewage Raymore</t>
  </si>
  <si>
    <t>Utilities / Gas / Insurance</t>
  </si>
  <si>
    <t>House Fund</t>
  </si>
  <si>
    <t xml:space="preserve">Emma Phone </t>
  </si>
  <si>
    <t>Retirement</t>
  </si>
  <si>
    <t xml:space="preserve">Tithe </t>
  </si>
  <si>
    <t>Mortgage</t>
  </si>
  <si>
    <t>Eric Paycheck</t>
  </si>
  <si>
    <t>Groceries</t>
  </si>
  <si>
    <t xml:space="preserve">T-Mobile </t>
  </si>
  <si>
    <t>Horse Budget</t>
  </si>
  <si>
    <t>ALDI</t>
  </si>
  <si>
    <t>Baby Needs</t>
  </si>
  <si>
    <t xml:space="preserve">Sams Club </t>
  </si>
  <si>
    <t xml:space="preserve">Price Chopper </t>
  </si>
  <si>
    <t>Essentials</t>
  </si>
  <si>
    <t>AT&amp;T</t>
  </si>
  <si>
    <t xml:space="preserve">Mortgage </t>
  </si>
  <si>
    <t>Dining Out</t>
  </si>
  <si>
    <t>Entertainment</t>
  </si>
  <si>
    <t xml:space="preserve">Amazon - Office/Cable Management </t>
  </si>
  <si>
    <t>Price Chopper - Melatonin</t>
  </si>
  <si>
    <t xml:space="preserve">Price Chopper - Groceries </t>
  </si>
  <si>
    <t xml:space="preserve">Gas - Honda </t>
  </si>
  <si>
    <t xml:space="preserve">Other </t>
  </si>
  <si>
    <t xml:space="preserve">Graduation Gift </t>
  </si>
  <si>
    <t>Bel-Ray Chiropracter CC</t>
  </si>
  <si>
    <t>Paid</t>
  </si>
  <si>
    <t>TOTAL SPENT</t>
  </si>
  <si>
    <t xml:space="preserve">Baby Crib </t>
  </si>
  <si>
    <t xml:space="preserve">Fidelity </t>
  </si>
  <si>
    <t xml:space="preserve">Spire </t>
  </si>
  <si>
    <t>Books</t>
  </si>
  <si>
    <t xml:space="preserve">Walmart - Hair Gel </t>
  </si>
  <si>
    <t>Gas Station</t>
  </si>
  <si>
    <t xml:space="preserve">Target - Deoderant </t>
  </si>
  <si>
    <t xml:space="preserve">Emma - Haircut </t>
  </si>
  <si>
    <t>Marshalls</t>
  </si>
  <si>
    <t xml:space="preserve">Missouri Mud </t>
  </si>
  <si>
    <t xml:space="preserve">ALDI </t>
  </si>
  <si>
    <t>Hy-Vee</t>
  </si>
  <si>
    <t xml:space="preserve">Books split cost </t>
  </si>
  <si>
    <t xml:space="preserve">Books Split cost </t>
  </si>
  <si>
    <t xml:space="preserve">Gym </t>
  </si>
  <si>
    <t>Baby Stuff</t>
  </si>
  <si>
    <t>Smoothie</t>
  </si>
  <si>
    <t>HOA + Fee</t>
  </si>
  <si>
    <t>Emma Paycheck</t>
  </si>
  <si>
    <t xml:space="preserve">Homegoods </t>
  </si>
  <si>
    <t xml:space="preserve">Amazon Music </t>
  </si>
  <si>
    <t>Pan Asia</t>
  </si>
  <si>
    <t xml:space="preserve">Gas Honda </t>
  </si>
  <si>
    <t>Google Cloud CC</t>
  </si>
  <si>
    <t xml:space="preserve">Word Fresh MArket </t>
  </si>
  <si>
    <t>App</t>
  </si>
  <si>
    <t>MArshalls</t>
  </si>
  <si>
    <t>Amazon</t>
  </si>
  <si>
    <t>Papa Johns</t>
  </si>
  <si>
    <t>Hawaiian Bros</t>
  </si>
  <si>
    <t>Door Dash sub</t>
  </si>
  <si>
    <t>Gas</t>
  </si>
  <si>
    <t xml:space="preserve">Smoothie </t>
  </si>
  <si>
    <t>DMV</t>
  </si>
  <si>
    <t>Claude Ai</t>
  </si>
  <si>
    <t>Bel-Ray Chiropractor CC</t>
  </si>
  <si>
    <t>WINGS</t>
  </si>
  <si>
    <t xml:space="preserve">Steam Game </t>
  </si>
  <si>
    <t xml:space="preserve">Bing </t>
  </si>
  <si>
    <t>Coffee</t>
  </si>
  <si>
    <t>HyVee</t>
  </si>
  <si>
    <t>WholeFoods</t>
  </si>
  <si>
    <t>Evergy</t>
  </si>
  <si>
    <t>Emma Gift BDAY</t>
  </si>
  <si>
    <t>Bing</t>
  </si>
  <si>
    <t xml:space="preserve">Truck Gas </t>
  </si>
  <si>
    <t>Disability</t>
  </si>
  <si>
    <t xml:space="preserve">BackPay - Eric Disability </t>
  </si>
  <si>
    <t>Bakery</t>
  </si>
  <si>
    <t>Target</t>
  </si>
  <si>
    <t xml:space="preserve">T Mobile Emma's Phone </t>
  </si>
  <si>
    <t xml:space="preserve">Price Chopper - Wings </t>
  </si>
  <si>
    <t>Bing Coffee</t>
  </si>
  <si>
    <t>Dividend</t>
  </si>
  <si>
    <t>Microsoft</t>
  </si>
  <si>
    <t xml:space="preserve">House Fund </t>
  </si>
  <si>
    <t>SAVINGS!</t>
  </si>
  <si>
    <t xml:space="preserve">Water and Sewage Raymore </t>
  </si>
  <si>
    <t xml:space="preserve">Baby Shower Gift </t>
  </si>
  <si>
    <t xml:space="preserve">Pan Asia - Food </t>
  </si>
  <si>
    <t xml:space="preserve">Pan Asia - Drinks </t>
  </si>
  <si>
    <t xml:space="preserve">Dairy Queen </t>
  </si>
  <si>
    <t>Walmart</t>
  </si>
  <si>
    <t>Sams Club</t>
  </si>
  <si>
    <t>Emma Phone (Last Transfer 2 Dad)</t>
  </si>
  <si>
    <t xml:space="preserve">Target Gifts </t>
  </si>
  <si>
    <t>Perinatal</t>
  </si>
  <si>
    <t xml:space="preserve">Aldi </t>
  </si>
  <si>
    <t xml:space="preserve">Drink </t>
  </si>
  <si>
    <t xml:space="preserve">Target </t>
  </si>
  <si>
    <t xml:space="preserve">JOY WOK </t>
  </si>
  <si>
    <t>Spire</t>
  </si>
  <si>
    <t xml:space="preserve">Taj Mahal </t>
  </si>
  <si>
    <t xml:space="preserve">Ice Cream </t>
  </si>
  <si>
    <t>Hyvee</t>
  </si>
  <si>
    <t>Costco</t>
  </si>
  <si>
    <t>HOA</t>
  </si>
  <si>
    <t>Chocolate</t>
  </si>
  <si>
    <t>Google Drive</t>
  </si>
  <si>
    <t xml:space="preserve">Jerusalum Cafe </t>
  </si>
  <si>
    <t xml:space="preserve">Shake Shack </t>
  </si>
  <si>
    <t xml:space="preserve">Haircut </t>
  </si>
  <si>
    <t>Panda</t>
  </si>
  <si>
    <t>T-Mobile</t>
  </si>
  <si>
    <t>Joes BBQ</t>
  </si>
  <si>
    <t>Dad's Phone</t>
  </si>
  <si>
    <t>Tax Fee Jackson Hewitt</t>
  </si>
  <si>
    <t>Unpaid</t>
  </si>
  <si>
    <t xml:space="preserve">Dad's Phone </t>
  </si>
  <si>
    <t xml:space="preserve">Emma - Marhsalls from Mom </t>
  </si>
  <si>
    <t>Panchos</t>
  </si>
  <si>
    <t xml:space="preserve">Kyoto Sushi </t>
  </si>
  <si>
    <t>Cookies</t>
  </si>
  <si>
    <t xml:space="preserve">Groceries </t>
  </si>
  <si>
    <t>Sams Club Cash app Dad</t>
  </si>
  <si>
    <t>Month To Date</t>
  </si>
  <si>
    <t>Year To Date</t>
  </si>
  <si>
    <t>Month</t>
  </si>
  <si>
    <t>Budgeted</t>
  </si>
  <si>
    <t>Vs Budget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</si>
  <si>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</si>
  <si>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</si>
  <si>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</si>
  <si>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</si>
  <si>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</si>
  <si>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</si>
  <si>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</si>
  <si>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</si>
  <si>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</si>
  <si>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</si>
  <si>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</si>
  <si>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Income</t>
  </si>
  <si>
    <t>Debit</t>
  </si>
  <si>
    <t>Total Expenses</t>
  </si>
  <si>
    <t>Where?</t>
  </si>
  <si>
    <t>When?</t>
  </si>
  <si>
    <t>What?</t>
  </si>
  <si>
    <t>Details</t>
  </si>
  <si>
    <t>Who</t>
  </si>
  <si>
    <t>Logbook, Dashboard, Fireflyiii</t>
  </si>
  <si>
    <t>Complete</t>
  </si>
  <si>
    <t>Audited, reconcile purchases with balances</t>
  </si>
  <si>
    <t xml:space="preserve">Eric </t>
  </si>
  <si>
    <t xml:space="preserve">Confirm Navy Fed Matches </t>
  </si>
  <si>
    <t>Ensure FF-iii, Log, and Statements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</si>
</sst>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[$$-409]#,##0.00;[Red][$$-409]#,##0.00"/>
    <numFmt numFmtId="165" formatCode="[$-F800]dddd\,\ mmmm\ dd\,\ yyyy"/>
    <numFmt numFmtId="166" formatCode="&quot;$&quot;#,##0.00"/>
    <numFmt numFmtId="167" formatCode="_([$$-409]* #,##0.00_);_([$$-409]* \(#,##0.00\);_([$$-409]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12"/>
      <color theme="1" tint="0.249977111117893"/>
      <name val="Calibri"/>
      <family val="2"/>
    </font>
    <font>
      <i/>
      <sz val="11"/>
      <color theme="1" tint="0.34998626667073579"/>
      <name val="Calibri"/>
      <family val="2"/>
      <scheme val="minor"/>
    </font>
    <font>
      <b/>
      <sz val="14"/>
      <color theme="1" tint="0.24994659260841701"/>
      <name val="Calibri"/>
      <family val="2"/>
    </font>
    <font>
      <b/>
      <sz val="16"/>
      <color rgb="FF0070C0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thin">
        <color rgb="FFB2B2B2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B2B2B2"/>
      </bottom>
      <diagonal/>
    </border>
    <border>
      <left style="medium">
        <color rgb="FF000000"/>
      </left>
      <right/>
      <top style="thin">
        <color rgb="FFB2B2B2"/>
      </top>
      <bottom style="thin">
        <color rgb="FFB2B2B2"/>
      </bottom>
      <diagonal/>
    </border>
    <border>
      <left style="medium">
        <color rgb="FF000000"/>
      </left>
      <right/>
      <top style="thin">
        <color rgb="FFB2B2B2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1" fillId="4" borderId="5" applyNumberFormat="0" applyFont="0" applyAlignment="0" applyProtection="0"/>
    <xf numFmtId="0" fontId="8" fillId="0" borderId="0"/>
    <xf numFmtId="166" fontId="11" fillId="8" borderId="0" applyFont="0" applyFill="0" applyBorder="0" applyProtection="0">
      <alignment horizontal="right" indent="2"/>
    </xf>
    <xf numFmtId="14" fontId="11" fillId="0" borderId="0" applyFont="0" applyFill="0" applyBorder="0" applyAlignment="0"/>
    <xf numFmtId="1" fontId="11" fillId="7" borderId="0" applyFont="0" applyFill="0" applyBorder="0" applyAlignment="0"/>
    <xf numFmtId="0" fontId="12" fillId="6" borderId="0" applyFill="0" applyProtection="0">
      <alignment horizontal="center" vertical="center" wrapText="1"/>
    </xf>
    <xf numFmtId="0" fontId="10" fillId="0" borderId="7" applyNumberFormat="0" applyFill="0" applyProtection="0">
      <alignment vertical="center"/>
    </xf>
    <xf numFmtId="166" fontId="11" fillId="8" borderId="0" applyFont="0" applyFill="0" applyBorder="0" applyAlignment="0" applyProtection="0"/>
    <xf numFmtId="0" fontId="13" fillId="0" borderId="8" applyNumberFormat="0" applyProtection="0">
      <alignment vertical="center"/>
    </xf>
    <xf numFmtId="0" fontId="11" fillId="7" borderId="0" applyNumberFormat="0" applyFont="0" applyAlignment="0">
      <alignment horizontal="center" vertical="center" wrapText="1"/>
    </xf>
    <xf numFmtId="10" fontId="8" fillId="0" borderId="0" applyFont="0" applyFill="0" applyBorder="0" applyAlignment="0" applyProtection="0"/>
    <xf numFmtId="0" fontId="14" fillId="0" borderId="9" applyNumberFormat="0" applyFill="0" applyProtection="0">
      <alignment vertical="center"/>
    </xf>
    <xf numFmtId="0" fontId="15" fillId="9" borderId="0" applyFill="0" applyBorder="0" applyProtection="0">
      <alignment horizontal="left" vertical="center" wrapText="1" indent="1"/>
    </xf>
  </cellStyleXfs>
  <cellXfs count="87">
    <xf numFmtId="0" fontId="0" fillId="0" borderId="0" xfId="0"/>
    <xf numFmtId="14" fontId="0" fillId="0" borderId="0" xfId="0" applyNumberFormat="1"/>
    <xf numFmtId="44" fontId="0" fillId="0" borderId="0" xfId="1" applyFont="1"/>
    <xf numFmtId="165" fontId="0" fillId="0" borderId="0" xfId="0" applyNumberFormat="1"/>
    <xf numFmtId="0" fontId="0" fillId="2" borderId="0" xfId="0" applyFill="1"/>
    <xf numFmtId="44" fontId="4" fillId="0" borderId="0" xfId="1" applyFont="1"/>
    <xf numFmtId="0" fontId="2" fillId="5" borderId="2" xfId="0" applyFont="1" applyFill="1" applyBorder="1"/>
    <xf numFmtId="44" fontId="9" fillId="0" borderId="0" xfId="1" applyFont="1"/>
    <xf numFmtId="164" fontId="9" fillId="0" borderId="1" xfId="1" applyNumberFormat="1" applyFont="1" applyBorder="1"/>
    <xf numFmtId="44" fontId="0" fillId="0" borderId="0" xfId="0" applyNumberFormat="1"/>
    <xf numFmtId="0" fontId="2" fillId="5" borderId="3" xfId="0" applyFont="1" applyFill="1" applyBorder="1"/>
    <xf numFmtId="44" fontId="0" fillId="4" borderId="6" xfId="2" applyNumberFormat="1" applyFont="1" applyBorder="1"/>
    <xf numFmtId="0" fontId="0" fillId="2" borderId="1" xfId="0" applyFill="1" applyBorder="1"/>
    <xf numFmtId="0" fontId="6" fillId="2" borderId="0" xfId="0" applyFont="1" applyFill="1"/>
    <xf numFmtId="44" fontId="4" fillId="0" borderId="0" xfId="1" applyFont="1" applyFill="1"/>
    <xf numFmtId="44" fontId="0" fillId="4" borderId="10" xfId="2" applyNumberFormat="1" applyFont="1" applyBorder="1"/>
    <xf numFmtId="0" fontId="2" fillId="5" borderId="11" xfId="0" applyFont="1" applyFill="1" applyBorder="1"/>
    <xf numFmtId="44" fontId="1" fillId="5" borderId="11" xfId="2" applyNumberFormat="1" applyFont="1" applyFill="1" applyBorder="1"/>
    <xf numFmtId="44" fontId="0" fillId="4" borderId="13" xfId="2" applyNumberFormat="1" applyFont="1" applyBorder="1"/>
    <xf numFmtId="0" fontId="2" fillId="5" borderId="12" xfId="0" applyFont="1" applyFill="1" applyBorder="1"/>
    <xf numFmtId="44" fontId="0" fillId="4" borderId="14" xfId="2" applyNumberFormat="1" applyFont="1" applyBorder="1"/>
    <xf numFmtId="44" fontId="2" fillId="5" borderId="15" xfId="1" applyFont="1" applyFill="1" applyBorder="1"/>
    <xf numFmtId="44" fontId="16" fillId="4" borderId="16" xfId="2" applyNumberFormat="1" applyFont="1" applyBorder="1"/>
    <xf numFmtId="44" fontId="0" fillId="4" borderId="17" xfId="2" applyNumberFormat="1" applyFont="1" applyBorder="1"/>
    <xf numFmtId="44" fontId="0" fillId="4" borderId="18" xfId="2" applyNumberFormat="1" applyFont="1" applyBorder="1"/>
    <xf numFmtId="0" fontId="2" fillId="5" borderId="19" xfId="0" applyFont="1" applyFill="1" applyBorder="1"/>
    <xf numFmtId="44" fontId="8" fillId="4" borderId="20" xfId="2" applyNumberFormat="1" applyFont="1" applyBorder="1"/>
    <xf numFmtId="44" fontId="0" fillId="4" borderId="21" xfId="2" applyNumberFormat="1" applyFont="1" applyBorder="1"/>
    <xf numFmtId="44" fontId="0" fillId="4" borderId="22" xfId="2" applyNumberFormat="1" applyFont="1" applyBorder="1"/>
    <xf numFmtId="44" fontId="0" fillId="5" borderId="23" xfId="2" applyNumberFormat="1" applyFont="1" applyFill="1" applyBorder="1"/>
    <xf numFmtId="167" fontId="0" fillId="0" borderId="0" xfId="0" applyNumberFormat="1"/>
    <xf numFmtId="0" fontId="2" fillId="0" borderId="0" xfId="0" applyFont="1"/>
    <xf numFmtId="44" fontId="0" fillId="0" borderId="0" xfId="1" applyFont="1" applyFill="1"/>
    <xf numFmtId="44" fontId="9" fillId="0" borderId="0" xfId="1" applyFont="1" applyFill="1"/>
    <xf numFmtId="44" fontId="0" fillId="5" borderId="24" xfId="2" applyNumberFormat="1" applyFont="1" applyFill="1" applyBorder="1"/>
    <xf numFmtId="0" fontId="2" fillId="3" borderId="1" xfId="0" applyFont="1" applyFill="1" applyBorder="1"/>
    <xf numFmtId="0" fontId="0" fillId="3" borderId="1" xfId="0" applyFill="1" applyBorder="1"/>
    <xf numFmtId="44" fontId="0" fillId="3" borderId="1" xfId="1" applyFont="1" applyFill="1" applyBorder="1"/>
    <xf numFmtId="44" fontId="0" fillId="3" borderId="1" xfId="0" applyNumberFormat="1" applyFill="1" applyBorder="1"/>
    <xf numFmtId="0" fontId="2" fillId="3" borderId="4" xfId="0" applyFont="1" applyFill="1" applyBorder="1"/>
    <xf numFmtId="44" fontId="2" fillId="3" borderId="1" xfId="0" applyNumberFormat="1" applyFont="1" applyFill="1" applyBorder="1"/>
    <xf numFmtId="0" fontId="17" fillId="0" borderId="0" xfId="0" applyFont="1"/>
    <xf numFmtId="14" fontId="0" fillId="11" borderId="25" xfId="0" applyNumberFormat="1" applyFill="1" applyBorder="1"/>
    <xf numFmtId="0" fontId="0" fillId="11" borderId="26" xfId="0" applyFill="1" applyBorder="1"/>
    <xf numFmtId="0" fontId="0" fillId="11" borderId="27" xfId="0" applyFill="1" applyBorder="1"/>
    <xf numFmtId="14" fontId="0" fillId="11" borderId="28" xfId="0" applyNumberFormat="1" applyFill="1" applyBorder="1"/>
    <xf numFmtId="0" fontId="0" fillId="11" borderId="0" xfId="0" applyFill="1"/>
    <xf numFmtId="0" fontId="0" fillId="11" borderId="28" xfId="0" applyFill="1" applyBorder="1"/>
    <xf numFmtId="0" fontId="0" fillId="0" borderId="28" xfId="0" applyBorder="1"/>
    <xf numFmtId="0" fontId="0" fillId="11" borderId="29" xfId="0" applyFill="1" applyBorder="1"/>
    <xf numFmtId="0" fontId="0" fillId="11" borderId="30" xfId="0" applyFill="1" applyBorder="1"/>
    <xf numFmtId="0" fontId="0" fillId="0" borderId="30" xfId="0" applyBorder="1"/>
    <xf numFmtId="0" fontId="0" fillId="11" borderId="31" xfId="0" applyFill="1" applyBorder="1"/>
    <xf numFmtId="0" fontId="0" fillId="11" borderId="25" xfId="0" applyFill="1" applyBorder="1"/>
    <xf numFmtId="0" fontId="0" fillId="11" borderId="32" xfId="0" applyFill="1" applyBorder="1"/>
    <xf numFmtId="0" fontId="0" fillId="11" borderId="33" xfId="0" applyFill="1" applyBorder="1"/>
    <xf numFmtId="0" fontId="0" fillId="12" borderId="25" xfId="0" applyFill="1" applyBorder="1"/>
    <xf numFmtId="0" fontId="2" fillId="10" borderId="28" xfId="0" applyFont="1" applyFill="1" applyBorder="1"/>
    <xf numFmtId="0" fontId="2" fillId="10" borderId="0" xfId="0" applyFont="1" applyFill="1"/>
    <xf numFmtId="16" fontId="0" fillId="0" borderId="0" xfId="0" applyNumberFormat="1"/>
    <xf numFmtId="0" fontId="0" fillId="0" borderId="0" xfId="0" applyFill="1"/>
    <xf numFmtId="0" fontId="0" fillId="11" borderId="24" xfId="0" applyFill="1" applyBorder="1"/>
    <xf numFmtId="0" fontId="0" fillId="12" borderId="26" xfId="0" applyFill="1" applyBorder="1"/>
    <xf numFmtId="0" fontId="0" fillId="11" borderId="34" xfId="0" applyFill="1" applyBorder="1"/>
    <xf numFmtId="0" fontId="0" fillId="0" borderId="35" xfId="0" applyBorder="1"/>
    <xf numFmtId="14" fontId="0" fillId="11" borderId="35" xfId="0" applyNumberFormat="1" applyFill="1" applyBorder="1"/>
    <xf numFmtId="0" fontId="0" fillId="11" borderId="36" xfId="0" applyFill="1" applyBorder="1"/>
    <xf numFmtId="0" fontId="0" fillId="0" borderId="25" xfId="0" applyBorder="1"/>
    <xf numFmtId="14" fontId="0" fillId="11" borderId="30" xfId="0" applyNumberFormat="1" applyFill="1" applyBorder="1"/>
    <xf numFmtId="14" fontId="0" fillId="11" borderId="34" xfId="0" applyNumberFormat="1" applyFill="1" applyBorder="1"/>
    <xf numFmtId="0" fontId="2" fillId="2" borderId="1" xfId="0" applyFont="1" applyFill="1" applyBorder="1"/>
    <xf numFmtId="0" fontId="2" fillId="2" borderId="4" xfId="0" applyFont="1" applyFill="1" applyBorder="1"/>
    <xf numFmtId="0" fontId="2" fillId="2" borderId="37" xfId="0" applyFont="1" applyFill="1" applyBorder="1"/>
    <xf numFmtId="0" fontId="0" fillId="2" borderId="4" xfId="0" applyFill="1" applyBorder="1"/>
    <xf numFmtId="0" fontId="0" fillId="0" borderId="0" xfId="0" applyFont="1"/>
    <xf numFmtId="0" fontId="0" fillId="3" borderId="1" xfId="0" applyFont="1" applyFill="1" applyBorder="1"/>
    <xf numFmtId="44" fontId="0" fillId="3" borderId="1" xfId="0" applyNumberFormat="1" applyFont="1" applyFill="1" applyBorder="1"/>
    <xf numFmtId="44" fontId="9" fillId="3" borderId="1" xfId="1" applyFont="1" applyFill="1" applyBorder="1"/>
    <xf numFmtId="44" fontId="9" fillId="3" borderId="4" xfId="1" applyFont="1" applyFill="1" applyBorder="1"/>
    <xf numFmtId="44" fontId="4" fillId="3" borderId="1" xfId="0" applyNumberFormat="1" applyFont="1" applyFill="1" applyBorder="1"/>
    <xf numFmtId="166" fontId="0" fillId="5" borderId="1" xfId="0" applyNumberFormat="1" applyFont="1" applyFill="1" applyBorder="1"/>
    <xf numFmtId="0" fontId="2" fillId="2" borderId="38" xfId="0" applyFont="1" applyFill="1" applyBorder="1"/>
    <xf numFmtId="44" fontId="2" fillId="2" borderId="1" xfId="0" applyNumberFormat="1" applyFont="1" applyFill="1" applyBorder="1"/>
    <xf numFmtId="44" fontId="19" fillId="3" borderId="1" xfId="0" applyNumberFormat="1" applyFont="1" applyFill="1" applyBorder="1"/>
    <xf numFmtId="0" fontId="7" fillId="2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5">
    <cellStyle name="Amount" xfId="9" xr:uid="{0DFB7ADD-89DE-4075-8263-F85C552A001F}"/>
    <cellStyle name="Currency" xfId="1" builtinId="4"/>
    <cellStyle name="Date" xfId="5" xr:uid="{757D9468-79F5-4299-9494-63193B74718C}"/>
    <cellStyle name="Explanatory Text 2" xfId="10" xr:uid="{DA4124DD-D2D9-4C7B-A674-8509C5D1422F}"/>
    <cellStyle name="Heading 2 2" xfId="13" xr:uid="{7F2F1B5A-B099-4F4D-9290-F7C0EA7BBBEA}"/>
    <cellStyle name="Heading 3 2" xfId="8" xr:uid="{3F6DCAFF-4824-4134-9932-587D36CB633D}"/>
    <cellStyle name="Heading 4 Right aligned" xfId="14" xr:uid="{B3CBC3DB-E16D-41C0-B9F8-5E746CFFFFAD}"/>
    <cellStyle name="Loan Summary" xfId="11" xr:uid="{A4BB8651-7ABD-4197-A798-13E99A5BC5DC}"/>
    <cellStyle name="Normal" xfId="0" builtinId="0"/>
    <cellStyle name="Normal 2" xfId="3" xr:uid="{D81EC6C8-14A7-4526-9FBD-86AF911801EA}"/>
    <cellStyle name="Note" xfId="2" builtinId="10"/>
    <cellStyle name="Number" xfId="6" xr:uid="{C5DA75D4-0067-4BF3-83A6-2C0DD1CEBB04}"/>
    <cellStyle name="Percent 2" xfId="12" xr:uid="{1892FD4D-A73D-4F91-A075-EBD73FD882FF}"/>
    <cellStyle name="Style 6" xfId="7" xr:uid="{5BBFF907-0CF8-4637-90C4-D9F36D6D6CE9}"/>
    <cellStyle name="Table Amount" xfId="4" xr:uid="{27BC3548-E818-40AB-A24E-1112E6BB55F5}"/>
  </cellStyles>
  <dxfs count="24">
    <dxf>
      <fill>
        <patternFill patternType="solid">
          <fgColor indexed="64"/>
          <bgColor theme="0" tint="-4.9989318521683403E-2"/>
        </patternFill>
      </fill>
      <border diagonalUp="0" diagonalDown="0">
        <left style="medium">
          <color rgb="FF000000"/>
        </left>
        <right/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none">
          <fgColor indexed="64"/>
          <bgColor rgb="FF92D050"/>
        </patternFill>
      </fill>
      <border diagonalUp="0" diagonalDown="0">
        <left/>
        <right style="medium">
          <color rgb="FF000000"/>
        </right>
        <top/>
        <bottom/>
        <vertical/>
        <horizontal/>
      </border>
    </dxf>
    <dxf>
      <numFmt numFmtId="19" formatCode="m/d/yyyy"/>
      <fill>
        <patternFill patternType="solid">
          <fgColor indexed="64"/>
          <bgColor theme="0" tint="-4.9989318521683403E-2"/>
        </patternFill>
      </fill>
      <border diagonalUp="0" diagonalDown="0">
        <left/>
        <right style="medium">
          <color rgb="FF000000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medium">
          <color rgb="FF000000"/>
        </right>
        <top/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numFmt numFmtId="166" formatCode="&quot;$&quot;#,##0.00"/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</dxf>
    <dxf>
      <numFmt numFmtId="165" formatCode="[$-F800]dddd\,\ mmmm\ dd\,\ yyyy"/>
    </dxf>
    <dxf>
      <numFmt numFmtId="0" formatCode="General"/>
    </dxf>
    <dxf>
      <font>
        <color rgb="FF9C0006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8" tint="0.39997558519241921"/>
        </patternFill>
      </fill>
    </dxf>
    <dxf>
      <font>
        <b/>
        <i val="0"/>
        <color theme="4"/>
      </font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</dxfs>
  <tableStyles count="1" defaultTableStyle="TableStyleMedium2" defaultPivotStyle="PivotStyleLight16">
    <tableStyle name="Loan Amortization Schedule" pivot="0" count="3" xr9:uid="{2B0AB9AE-3BE2-4A05-8B6B-DBC17F878808}">
      <tableStyleElement type="wholeTable" dxfId="23"/>
      <tableStyleElement type="headerRow" dxfId="22"/>
      <tableStyleElement type="totalRow" dxfId="21"/>
    </tableStyle>
  </tableStyles>
  <colors>
    <mruColors>
      <color rgb="FF26FF15"/>
      <color rgb="FFFF555A"/>
      <color rgb="FFFF8669"/>
      <color rgb="FFFFAB9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066374577193599E-2"/>
          <c:y val="0.16958465097523187"/>
          <c:w val="0.83920597898622784"/>
          <c:h val="0.7109856581549841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1CEC-4A3E-95D6-3372E7A169C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CEC-4A3E-95D6-3372E7A169C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1CEC-4A3E-95D6-3372E7A169C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CEC-4A3E-95D6-3372E7A169C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CEC-4A3E-95D6-3372E7A169C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CEC-4A3E-95D6-3372E7A169C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CEC-4A3E-95D6-3372E7A169C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1CEC-4A3E-95D6-3372E7A169C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CEC-4A3E-95D6-3372E7A169C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DAF6-4248-B195-34D8688817A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DAF6-4248-B195-34D8688817A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DAF6-4248-B195-34D8688817A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6BC0-43FD-9472-8E26074F706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BD2B-462B-876D-AD88092BBC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DashBoard!$B$14:$B$27</c:f>
              <c:strCache>
                <c:ptCount val="13"/>
                <c:pt idx="0">
                  <c:v>Tithe</c:v>
                </c:pt>
                <c:pt idx="1">
                  <c:v>House Fund</c:v>
                </c:pt>
                <c:pt idx="2">
                  <c:v>Retirement</c:v>
                </c:pt>
                <c:pt idx="3">
                  <c:v>Mortgage</c:v>
                </c:pt>
                <c:pt idx="4">
                  <c:v>Groceries</c:v>
                </c:pt>
                <c:pt idx="5">
                  <c:v>Horse Budget</c:v>
                </c:pt>
                <c:pt idx="6">
                  <c:v>Baby Needs</c:v>
                </c:pt>
                <c:pt idx="7">
                  <c:v>Utilities / Gas / Insurance</c:v>
                </c:pt>
                <c:pt idx="8">
                  <c:v>Essentials</c:v>
                </c:pt>
                <c:pt idx="9">
                  <c:v>Subscriptions</c:v>
                </c:pt>
                <c:pt idx="10">
                  <c:v>Dining Out</c:v>
                </c:pt>
                <c:pt idx="11">
                  <c:v>Entertainment</c:v>
                </c:pt>
                <c:pt idx="12">
                  <c:v>SAVINGS!</c:v>
                </c:pt>
              </c:strCache>
            </c:strRef>
          </c:cat>
          <c:val>
            <c:numRef>
              <c:f>DashBoard!$C$14:$C$27</c:f>
              <c:numCache>
                <c:formatCode>_("$"* #,##0.00_);_("$"* \(#,##0.00\);_("$"* "-"??_);_(@_)</c:formatCode>
                <c:ptCount val="14"/>
                <c:pt idx="0">
                  <c:v>1050</c:v>
                </c:pt>
                <c:pt idx="1">
                  <c:v>0</c:v>
                </c:pt>
                <c:pt idx="2">
                  <c:v>0</c:v>
                </c:pt>
                <c:pt idx="3">
                  <c:v>2735.72</c:v>
                </c:pt>
                <c:pt idx="4">
                  <c:v>837.75</c:v>
                </c:pt>
                <c:pt idx="5">
                  <c:v>531.91</c:v>
                </c:pt>
                <c:pt idx="6">
                  <c:v>81.459999999999994</c:v>
                </c:pt>
                <c:pt idx="7">
                  <c:v>582.70000000000005</c:v>
                </c:pt>
                <c:pt idx="8">
                  <c:v>553.99</c:v>
                </c:pt>
                <c:pt idx="9">
                  <c:v>146.07</c:v>
                </c:pt>
                <c:pt idx="10">
                  <c:v>423.43999999999994</c:v>
                </c:pt>
                <c:pt idx="11">
                  <c:v>75</c:v>
                </c:pt>
                <c:pt idx="12">
                  <c:v>6000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C-4A3E-95D6-3372E7A16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4463811109212227E-2"/>
          <c:y val="0.7872662957194273"/>
          <c:w val="0.84781823320229299"/>
          <c:h val="0.19804132453538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0</xdr:rowOff>
    </xdr:from>
    <xdr:to>
      <xdr:col>19</xdr:col>
      <xdr:colOff>0</xdr:colOff>
      <xdr:row>85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4E3903-7E30-5323-7F95-C1AF4DC91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EEDE2C-EDEE-4D12-91C5-2AC67DE2783D}" name="Table2" displayName="Table2" ref="A1:I696" totalsRowShown="0">
  <autoFilter ref="A1:I696" xr:uid="{A9EEDE2C-EDEE-4D12-91C5-2AC67DE2783D}"/>
  <sortState xmlns:xlrd2="http://schemas.microsoft.com/office/spreadsheetml/2017/richdata2" ref="A2:I696">
    <sortCondition ref="B2:B696"/>
  </sortState>
  <tableColumns count="9">
    <tableColumn id="1" xr3:uid="{3B5E47AD-ED2A-4CB6-85BE-575154507E16}" name="month" dataDxfId="14">
      <calculatedColumnFormula>TEXT(Table2[[#This Row],[date]],"MMMM")</calculatedColumnFormula>
    </tableColumn>
    <tableColumn id="2" xr3:uid="{146AE3DA-A46C-4C74-AAA4-01958C053366}" name="date" dataDxfId="13"/>
    <tableColumn id="3" xr3:uid="{4474B80D-CEC8-4DF1-ABCA-8F9617FB3A2A}" name="decription "/>
    <tableColumn id="4" xr3:uid="{C4BA36E6-CD32-42C3-900B-47C445374042}" name="category"/>
    <tableColumn id="5" xr3:uid="{688A08D0-624C-4193-8708-B515E2D72427}" name="income" dataDxfId="12" dataCellStyle="Currency"/>
    <tableColumn id="6" xr3:uid="{A4269F05-E5E9-47C3-8257-258F52F9EF70}" name="debit" dataDxfId="11" dataCellStyle="Currency"/>
    <tableColumn id="7" xr3:uid="{4B0A68F5-3CDF-4287-9967-F8A2CC90FA24}" name="balance" dataCellStyle="Currency"/>
    <tableColumn id="8" xr3:uid="{5CCF96CD-35DD-4238-BF1A-67259A9D403A}" name="CREDIT"/>
    <tableColumn id="9" xr3:uid="{398CA709-62CE-4B1D-A54C-F0F30EEC3B8B}" name="Not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FEBA0-E60E-4A3D-A030-A40D30B111F5}" name="Table1" displayName="Table1" ref="A1:E18" totalsRowShown="0" headerRowDxfId="6" tableBorderDxfId="5">
  <autoFilter ref="A1:E18" xr:uid="{597FEBA0-E60E-4A3D-A030-A40D30B111F5}"/>
  <tableColumns count="5">
    <tableColumn id="1" xr3:uid="{E3B108B1-2BC0-4C9F-BC48-C8154A3774A3}" name="Where?" dataDxfId="4"/>
    <tableColumn id="2" xr3:uid="{01A080BA-5798-4A20-AA6C-70C3CB7B46D2}" name="When?" dataDxfId="3"/>
    <tableColumn id="3" xr3:uid="{5A6E8153-D5BE-49FD-B27D-DB445DF7032F}" name="What?" dataDxfId="2"/>
    <tableColumn id="4" xr3:uid="{AC4C3AC1-06C6-4C56-AE67-54A7CC35BCD9}" name="Details" dataDxfId="1"/>
    <tableColumn id="5" xr3:uid="{B5120C69-C136-46ED-A25B-C4FC373CC7A5}" name="Wh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2FBE-9337-4D0B-AC6C-B1A8A3222571}">
  <sheetPr>
    <tabColor rgb="FF7030A0"/>
  </sheetPr>
  <dimension ref="A1:M699"/>
  <sheetViews>
    <sheetView topLeftCell="B156" zoomScaleNormal="100" workbookViewId="0">
      <selection activeCell="E183" sqref="E183"/>
    </sheetView>
  </sheetViews>
  <sheetFormatPr defaultRowHeight="15" zeroHeight="1"/>
  <cols>
    <col min="1" max="1" width="9.42578125" bestFit="1" customWidth="1"/>
    <col min="2" max="2" width="28.85546875" style="3" bestFit="1" customWidth="1"/>
    <col min="3" max="3" width="34.28515625" customWidth="1"/>
    <col min="4" max="4" width="22.85546875" bestFit="1" customWidth="1"/>
    <col min="5" max="5" width="11" style="7" bestFit="1" customWidth="1"/>
    <col min="6" max="6" width="10.85546875" style="5" bestFit="1" customWidth="1"/>
    <col min="7" max="7" width="11.85546875" style="2" bestFit="1" customWidth="1"/>
    <col min="8" max="8" width="9.85546875" bestFit="1" customWidth="1"/>
    <col min="9" max="9" width="33.5703125" bestFit="1" customWidth="1"/>
    <col min="10" max="10" width="23.5703125" bestFit="1" customWidth="1"/>
    <col min="11" max="11" width="48" customWidth="1"/>
    <col min="12" max="12" width="11.5703125" bestFit="1" customWidth="1"/>
    <col min="13" max="13" width="14.140625" style="2" bestFit="1" customWidth="1"/>
    <col min="14" max="14" width="45.7109375" customWidth="1"/>
    <col min="15" max="15" width="20.7109375" bestFit="1" customWidth="1"/>
    <col min="16" max="16" width="14" bestFit="1" customWidth="1"/>
  </cols>
  <sheetData>
    <row r="1" spans="1:13">
      <c r="A1" t="s">
        <v>0</v>
      </c>
      <c r="B1" s="3" t="s">
        <v>1</v>
      </c>
      <c r="C1" t="s">
        <v>2</v>
      </c>
      <c r="D1" t="s">
        <v>3</v>
      </c>
      <c r="E1" s="7" t="s">
        <v>4</v>
      </c>
      <c r="F1" s="5" t="s">
        <v>5</v>
      </c>
      <c r="G1" s="2" t="s">
        <v>6</v>
      </c>
      <c r="H1" t="s">
        <v>7</v>
      </c>
      <c r="I1" t="s">
        <v>8</v>
      </c>
      <c r="J1" s="6" t="s">
        <v>9</v>
      </c>
      <c r="K1" s="16" t="s">
        <v>10</v>
      </c>
      <c r="L1" s="25" t="s">
        <v>11</v>
      </c>
      <c r="M1" s="21" t="s">
        <v>12</v>
      </c>
    </row>
    <row r="2" spans="1:13">
      <c r="A2" t="str">
        <f>TEXT(Table2[[#This Row],[date]],"MMMM")</f>
        <v>January</v>
      </c>
      <c r="B2" s="3">
        <v>46023</v>
      </c>
      <c r="C2" t="s">
        <v>13</v>
      </c>
      <c r="E2" s="8"/>
      <c r="G2" s="2">
        <v>4352.3</v>
      </c>
      <c r="J2" s="19" t="s">
        <v>14</v>
      </c>
      <c r="K2" s="20">
        <f>SUMIFS(Table2[[#All],[income]],Table2[[#All],[month]],J1,Table2[[#All],[category]],J2)</f>
        <v>4084.27</v>
      </c>
      <c r="L2" s="26">
        <v>10500</v>
      </c>
      <c r="M2" s="22"/>
    </row>
    <row r="3" spans="1:13">
      <c r="A3" t="str">
        <f>TEXT(Table2[[#This Row],[date]],"MMMM")</f>
        <v>January</v>
      </c>
      <c r="B3" s="3">
        <v>46023</v>
      </c>
      <c r="C3" t="s">
        <v>15</v>
      </c>
      <c r="D3" t="s">
        <v>16</v>
      </c>
      <c r="E3" s="33"/>
      <c r="F3" s="14">
        <v>100</v>
      </c>
      <c r="G3" s="2">
        <f>SUM(G2+Table2[[#This Row],[income]]-Table2[[#This Row],[debit]])</f>
        <v>4252.3</v>
      </c>
      <c r="J3" s="10" t="s">
        <v>17</v>
      </c>
      <c r="K3" s="18">
        <f>SUMIFS(Table2[[#All],[debit]],Table2[[#All],[month]],$J$1,Table2[[#All],[category]],J3)</f>
        <v>1050</v>
      </c>
      <c r="L3" s="27">
        <v>1050</v>
      </c>
      <c r="M3" s="23">
        <f t="shared" ref="M3:M17" si="0">SUM(L3-K3)</f>
        <v>0</v>
      </c>
    </row>
    <row r="4" spans="1:13">
      <c r="A4" t="str">
        <f>TEXT(Table2[[#This Row],[date]],"MMMM")</f>
        <v>January</v>
      </c>
      <c r="B4" s="3">
        <v>46023</v>
      </c>
      <c r="C4" t="s">
        <v>18</v>
      </c>
      <c r="D4" t="s">
        <v>19</v>
      </c>
      <c r="E4" s="33"/>
      <c r="F4" s="14">
        <v>60.41</v>
      </c>
      <c r="G4" s="2">
        <f>SUM(G3+Table2[[#This Row],[income]]-Table2[[#This Row],[debit]])</f>
        <v>4191.8900000000003</v>
      </c>
      <c r="J4" s="10" t="s">
        <v>20</v>
      </c>
      <c r="K4" s="11">
        <f>SUMIFS(Table2[[#All],[debit]],Table2[[#All],[month]],$J$1,Table2[[#All],[category]],J4)</f>
        <v>0</v>
      </c>
      <c r="L4" s="27">
        <v>2100</v>
      </c>
      <c r="M4" s="23">
        <f t="shared" si="0"/>
        <v>2100</v>
      </c>
    </row>
    <row r="5" spans="1:13">
      <c r="A5" t="str">
        <f>TEXT(Table2[[#This Row],[date]],"MMMM")</f>
        <v>January</v>
      </c>
      <c r="B5" s="3">
        <v>46023</v>
      </c>
      <c r="C5" t="s">
        <v>21</v>
      </c>
      <c r="D5" t="s">
        <v>19</v>
      </c>
      <c r="E5" s="33"/>
      <c r="F5" s="14">
        <v>50</v>
      </c>
      <c r="G5" s="2">
        <f>SUM(G4+Table2[[#This Row],[income]]-Table2[[#This Row],[debit]])</f>
        <v>4141.8900000000003</v>
      </c>
      <c r="J5" s="10" t="s">
        <v>22</v>
      </c>
      <c r="K5" s="11">
        <f>SUMIFS(Table2[[#All],[debit]],Table2[[#All],[month]],$J$1,Table2[[#All],[category]],J5)</f>
        <v>0</v>
      </c>
      <c r="L5" s="27">
        <v>614</v>
      </c>
      <c r="M5" s="23">
        <f t="shared" si="0"/>
        <v>614</v>
      </c>
    </row>
    <row r="6" spans="1:13">
      <c r="A6" t="str">
        <f>TEXT(Table2[[#This Row],[date]],"MMMM")</f>
        <v>January</v>
      </c>
      <c r="B6" s="3">
        <v>46023</v>
      </c>
      <c r="C6" t="s">
        <v>23</v>
      </c>
      <c r="D6" t="s">
        <v>17</v>
      </c>
      <c r="E6" s="33"/>
      <c r="F6" s="14">
        <v>1050</v>
      </c>
      <c r="G6" s="2">
        <f>SUM(G5+Table2[[#This Row],[income]]-Table2[[#This Row],[debit]])</f>
        <v>3091.8900000000003</v>
      </c>
      <c r="J6" s="10" t="s">
        <v>24</v>
      </c>
      <c r="K6" s="11">
        <f>SUMIFS(Table2[[#All],[debit]],Table2[[#All],[month]],$J$1,Table2[[#All],[category]],J6)</f>
        <v>2735.72</v>
      </c>
      <c r="L6" s="27">
        <v>2736</v>
      </c>
      <c r="M6" s="23">
        <f t="shared" si="0"/>
        <v>0.28000000000020009</v>
      </c>
    </row>
    <row r="7" spans="1:13">
      <c r="A7" t="str">
        <f>TEXT(Table2[[#This Row],[date]],"MMMM")</f>
        <v>January</v>
      </c>
      <c r="B7" s="3">
        <v>46023</v>
      </c>
      <c r="C7" t="s">
        <v>25</v>
      </c>
      <c r="D7" t="s">
        <v>14</v>
      </c>
      <c r="E7" s="33">
        <v>2033</v>
      </c>
      <c r="F7" s="14"/>
      <c r="G7" s="2">
        <f>SUM(G6+Table2[[#This Row],[income]]-Table2[[#This Row],[debit]])</f>
        <v>5124.8900000000003</v>
      </c>
      <c r="J7" s="10" t="s">
        <v>26</v>
      </c>
      <c r="K7" s="11">
        <f>SUMIFS(Table2[[#All],[debit]],Table2[[#All],[month]],$J$1,Table2[[#All],[category]],J7)</f>
        <v>837.75</v>
      </c>
      <c r="L7" s="27">
        <v>930</v>
      </c>
      <c r="M7" s="23">
        <f t="shared" si="0"/>
        <v>92.25</v>
      </c>
    </row>
    <row r="8" spans="1:13">
      <c r="A8" t="str">
        <f>TEXT(Table2[[#This Row],[date]],"MMMM")</f>
        <v>January</v>
      </c>
      <c r="B8" s="3">
        <v>46024</v>
      </c>
      <c r="C8" t="s">
        <v>27</v>
      </c>
      <c r="D8" t="s">
        <v>19</v>
      </c>
      <c r="E8" s="33"/>
      <c r="F8" s="14">
        <v>347.5</v>
      </c>
      <c r="G8" s="2">
        <f>SUM(G7+Table2[[#This Row],[income]]-Table2[[#This Row],[debit]])</f>
        <v>4777.3900000000003</v>
      </c>
      <c r="J8" s="10" t="s">
        <v>28</v>
      </c>
      <c r="K8" s="11">
        <f>SUMIFS(Table2[[#All],[debit]],Table2[[#All],[month]],$J$1,Table2[[#All],[category]],J8)</f>
        <v>531.91</v>
      </c>
      <c r="L8" s="27">
        <v>870</v>
      </c>
      <c r="M8" s="23">
        <f t="shared" si="0"/>
        <v>338.09000000000003</v>
      </c>
    </row>
    <row r="9" spans="1:13">
      <c r="A9" t="str">
        <f>TEXT(Table2[[#This Row],[date]],"MMMM")</f>
        <v>January</v>
      </c>
      <c r="B9" s="3">
        <v>46024</v>
      </c>
      <c r="C9" t="s">
        <v>29</v>
      </c>
      <c r="D9" t="s">
        <v>26</v>
      </c>
      <c r="E9" s="33"/>
      <c r="F9" s="14">
        <v>6.33</v>
      </c>
      <c r="G9" s="2">
        <f>SUM(G8+Table2[[#This Row],[income]]-Table2[[#This Row],[debit]])</f>
        <v>4771.0600000000004</v>
      </c>
      <c r="J9" s="10" t="s">
        <v>30</v>
      </c>
      <c r="K9" s="11">
        <f>SUMIFS(Table2[[#All],[debit]],Table2[[#All],[month]],$J$1,Table2[[#All],[category]],J9)</f>
        <v>81.459999999999994</v>
      </c>
      <c r="L9" s="27">
        <v>500</v>
      </c>
      <c r="M9" s="23">
        <f t="shared" si="0"/>
        <v>418.54</v>
      </c>
    </row>
    <row r="10" spans="1:13">
      <c r="A10" t="str">
        <f>TEXT(Table2[[#This Row],[date]],"MMMM")</f>
        <v>January</v>
      </c>
      <c r="B10" s="3">
        <v>46024</v>
      </c>
      <c r="C10" t="s">
        <v>31</v>
      </c>
      <c r="D10" t="s">
        <v>26</v>
      </c>
      <c r="E10" s="33"/>
      <c r="F10" s="14">
        <v>53.17</v>
      </c>
      <c r="G10" s="2">
        <f>SUM(G9+Table2[[#This Row],[income]]-Table2[[#This Row],[debit]])</f>
        <v>4717.8900000000003</v>
      </c>
      <c r="J10" s="10" t="s">
        <v>19</v>
      </c>
      <c r="K10" s="11">
        <f>SUMIFS(Table2[[#All],[debit]],Table2[[#All],[month]],$J$1,Table2[[#All],[category]],J10)</f>
        <v>582.70000000000005</v>
      </c>
      <c r="L10" s="27">
        <v>750</v>
      </c>
      <c r="M10" s="23">
        <f t="shared" si="0"/>
        <v>167.29999999999995</v>
      </c>
    </row>
    <row r="11" spans="1:13">
      <c r="A11" t="str">
        <f>TEXT(Table2[[#This Row],[date]],"MMMM")</f>
        <v>January</v>
      </c>
      <c r="B11" s="3">
        <v>46024</v>
      </c>
      <c r="C11" t="s">
        <v>32</v>
      </c>
      <c r="D11" t="s">
        <v>26</v>
      </c>
      <c r="E11" s="33"/>
      <c r="F11" s="14">
        <v>5.33</v>
      </c>
      <c r="G11" s="2">
        <f>SUM(G10+Table2[[#This Row],[income]]-Table2[[#This Row],[debit]])</f>
        <v>4712.5600000000004</v>
      </c>
      <c r="J11" s="10" t="s">
        <v>33</v>
      </c>
      <c r="K11" s="11">
        <f>SUMIFS(Table2[[#All],[debit]],Table2[[#All],[month]],$J$1,Table2[[#All],[category]],J11)</f>
        <v>553.99</v>
      </c>
      <c r="L11" s="27">
        <v>400</v>
      </c>
      <c r="M11" s="23">
        <f t="shared" si="0"/>
        <v>-153.99</v>
      </c>
    </row>
    <row r="12" spans="1:13">
      <c r="A12" t="str">
        <f>TEXT(Table2[[#This Row],[date]],"MMMM")</f>
        <v>January</v>
      </c>
      <c r="B12" s="3">
        <v>46024</v>
      </c>
      <c r="C12" t="s">
        <v>34</v>
      </c>
      <c r="D12" t="s">
        <v>19</v>
      </c>
      <c r="E12" s="33"/>
      <c r="F12" s="14">
        <v>90.33</v>
      </c>
      <c r="G12" s="2">
        <f>SUM(G11+Table2[[#This Row],[income]]-Table2[[#This Row],[debit]])</f>
        <v>4622.2300000000005</v>
      </c>
      <c r="J12" s="10" t="s">
        <v>16</v>
      </c>
      <c r="K12" s="11">
        <f>SUMIFS(Table2[[#All],[debit]],Table2[[#All],[month]],$J$1,Table2[[#All],[category]],J12)</f>
        <v>146.07</v>
      </c>
      <c r="L12" s="27">
        <v>200</v>
      </c>
      <c r="M12" s="23">
        <f t="shared" si="0"/>
        <v>53.930000000000007</v>
      </c>
    </row>
    <row r="13" spans="1:13">
      <c r="A13" t="str">
        <f>TEXT(Table2[[#This Row],[date]],"MMMM")</f>
        <v>January</v>
      </c>
      <c r="B13" s="3">
        <v>46024</v>
      </c>
      <c r="C13" t="s">
        <v>35</v>
      </c>
      <c r="D13" t="s">
        <v>24</v>
      </c>
      <c r="E13" s="33"/>
      <c r="F13" s="14">
        <v>2735.72</v>
      </c>
      <c r="G13" s="2">
        <f>SUM(G12+Table2[[#This Row],[income]]-Table2[[#This Row],[debit]])</f>
        <v>1886.5100000000007</v>
      </c>
      <c r="J13" s="10" t="s">
        <v>36</v>
      </c>
      <c r="K13" s="11">
        <f>SUMIFS(Table2[[#All],[debit]],Table2[[#All],[month]],$J$1,Table2[[#All],[category]],J13)</f>
        <v>423.43999999999994</v>
      </c>
      <c r="L13" s="27">
        <v>200</v>
      </c>
      <c r="M13" s="23">
        <f t="shared" si="0"/>
        <v>-223.43999999999994</v>
      </c>
    </row>
    <row r="14" spans="1:13">
      <c r="A14" t="str">
        <f>TEXT(Table2[[#This Row],[date]],"MMMM")</f>
        <v>January</v>
      </c>
      <c r="B14" s="3">
        <v>46026</v>
      </c>
      <c r="C14" t="s">
        <v>31</v>
      </c>
      <c r="D14" t="s">
        <v>26</v>
      </c>
      <c r="E14" s="33"/>
      <c r="F14" s="14">
        <v>25.7</v>
      </c>
      <c r="G14" s="2">
        <f>SUM(G13+Table2[[#This Row],[income]]-Table2[[#This Row],[debit]])</f>
        <v>1860.8100000000006</v>
      </c>
      <c r="J14" s="10" t="s">
        <v>37</v>
      </c>
      <c r="K14" s="11">
        <f>SUMIFS(Table2[[#All],[debit]],Table2[[#All],[month]],$J$1,Table2[[#All],[category]],J14)</f>
        <v>75</v>
      </c>
      <c r="L14" s="27">
        <v>150</v>
      </c>
      <c r="M14" s="23">
        <f t="shared" si="0"/>
        <v>75</v>
      </c>
    </row>
    <row r="15" spans="1:13">
      <c r="A15" t="str">
        <f>TEXT(Table2[[#This Row],[date]],"MMMM")</f>
        <v>January</v>
      </c>
      <c r="B15" s="3">
        <v>46026</v>
      </c>
      <c r="C15" t="s">
        <v>38</v>
      </c>
      <c r="D15" t="s">
        <v>33</v>
      </c>
      <c r="E15" s="33"/>
      <c r="F15" s="14">
        <v>40.21</v>
      </c>
      <c r="G15" s="2">
        <f>SUM(G14+Table2[[#This Row],[income]]-Table2[[#This Row],[debit]])</f>
        <v>1820.6000000000006</v>
      </c>
      <c r="J15" s="10"/>
      <c r="K15" s="11">
        <f>SUMIFS(Table2[[#All],[debit]],Table2[[#All],[month]],$J$1,Table2[[#All],[category]],J15)</f>
        <v>0</v>
      </c>
      <c r="L15" s="27"/>
      <c r="M15" s="23">
        <f t="shared" si="0"/>
        <v>0</v>
      </c>
    </row>
    <row r="16" spans="1:13">
      <c r="A16" t="str">
        <f>TEXT(Table2[[#This Row],[date]],"MMMM")</f>
        <v>January</v>
      </c>
      <c r="B16" s="3">
        <v>46026</v>
      </c>
      <c r="C16" s="1" t="s">
        <v>39</v>
      </c>
      <c r="D16" t="s">
        <v>33</v>
      </c>
      <c r="E16" s="33"/>
      <c r="F16" s="14">
        <v>9.85</v>
      </c>
      <c r="G16" s="2">
        <f>SUM(G15+Table2[[#This Row],[income]]-Table2[[#This Row],[debit]])</f>
        <v>1810.7500000000007</v>
      </c>
      <c r="J16" s="10"/>
      <c r="K16" s="11">
        <f>SUMIFS(Table2[[#All],[debit]],Table2[[#All],[month]],$J$1,Table2[[#All],[category]],J16)</f>
        <v>0</v>
      </c>
      <c r="L16" s="27"/>
      <c r="M16" s="23">
        <f t="shared" si="0"/>
        <v>0</v>
      </c>
    </row>
    <row r="17" spans="1:13">
      <c r="A17" t="str">
        <f>TEXT(Table2[[#This Row],[date]],"MMMM")</f>
        <v>January</v>
      </c>
      <c r="B17" s="3">
        <v>46026</v>
      </c>
      <c r="C17" t="s">
        <v>40</v>
      </c>
      <c r="D17" t="s">
        <v>26</v>
      </c>
      <c r="E17" s="33"/>
      <c r="F17" s="14">
        <v>10.119999999999999</v>
      </c>
      <c r="G17" s="2">
        <f>SUM(G16+Table2[[#This Row],[income]]-Table2[[#This Row],[debit]])</f>
        <v>1800.6300000000008</v>
      </c>
      <c r="J17" s="10"/>
      <c r="K17" s="11">
        <f>SUMIFS(Table2[[#All],[debit]],Table2[[#All],[month]],$J$1,Table2[[#All],[category]],J17)</f>
        <v>0</v>
      </c>
      <c r="L17" s="27"/>
      <c r="M17" s="23">
        <f t="shared" si="0"/>
        <v>0</v>
      </c>
    </row>
    <row r="18" spans="1:13">
      <c r="A18" t="str">
        <f>TEXT(Table2[[#This Row],[date]],"MMMM")</f>
        <v>January</v>
      </c>
      <c r="B18" s="3">
        <v>46026</v>
      </c>
      <c r="C18" t="s">
        <v>41</v>
      </c>
      <c r="D18" t="s">
        <v>19</v>
      </c>
      <c r="E18" s="33"/>
      <c r="F18" s="14">
        <v>27.04</v>
      </c>
      <c r="G18" s="2">
        <f>SUM(G17+Table2[[#This Row],[income]]-Table2[[#This Row],[debit]])</f>
        <v>1773.5900000000008</v>
      </c>
      <c r="J18" s="10"/>
      <c r="K18" s="15">
        <f>SUMIFS(Table2[[#All],[debit]],Table2[[#All],[month]],$J$1,Table2[[#All],[category]],J18)</f>
        <v>0</v>
      </c>
      <c r="L18" s="28"/>
      <c r="M18" s="24"/>
    </row>
    <row r="19" spans="1:13">
      <c r="A19" t="str">
        <f>TEXT(Table2[[#This Row],[date]],"MMMM")</f>
        <v>January</v>
      </c>
      <c r="B19" s="3">
        <v>46026</v>
      </c>
      <c r="C19" t="s">
        <v>42</v>
      </c>
      <c r="D19" t="s">
        <v>14</v>
      </c>
      <c r="E19" s="33">
        <v>159.72999999999999</v>
      </c>
      <c r="F19" s="14"/>
      <c r="G19" s="2">
        <f>SUM(G18+Table2[[#This Row],[income]]-Table2[[#This Row],[debit]])</f>
        <v>1933.3200000000008</v>
      </c>
      <c r="I19" t="s">
        <v>43</v>
      </c>
      <c r="J19" s="10"/>
      <c r="K19" s="15">
        <f>SUMIFS(Table2[[#All],[debit]],Table2[[#All],[month]],$J$1,Table2[[#All],[category]],J19)</f>
        <v>0</v>
      </c>
      <c r="L19" s="28"/>
      <c r="M19" s="24"/>
    </row>
    <row r="20" spans="1:13">
      <c r="A20" t="str">
        <f>TEXT(Table2[[#This Row],[date]],"MMMM")</f>
        <v>January</v>
      </c>
      <c r="B20" s="3">
        <v>46026</v>
      </c>
      <c r="C20" t="s">
        <v>44</v>
      </c>
      <c r="D20" t="s">
        <v>33</v>
      </c>
      <c r="E20" s="33"/>
      <c r="F20" s="14">
        <v>32.71</v>
      </c>
      <c r="G20" s="2">
        <f>SUM(G19+Table2[[#This Row],[income]]-Table2[[#This Row],[debit]])</f>
        <v>1900.6100000000008</v>
      </c>
      <c r="H20" t="s">
        <v>45</v>
      </c>
      <c r="J20" s="16" t="s">
        <v>46</v>
      </c>
      <c r="K20" s="17">
        <f>SUM(K3:K19)</f>
        <v>7018.0399999999981</v>
      </c>
      <c r="L20" s="29">
        <f>SUM(L3:L19)</f>
        <v>10500</v>
      </c>
      <c r="M20" s="34">
        <f>SUM(M3:M19)</f>
        <v>3481.96</v>
      </c>
    </row>
    <row r="21" spans="1:13">
      <c r="A21" t="str">
        <f>TEXT(Table2[[#This Row],[date]],"MMMM")</f>
        <v>January</v>
      </c>
      <c r="B21" s="3">
        <v>46028</v>
      </c>
      <c r="C21" t="s">
        <v>47</v>
      </c>
      <c r="D21" t="s">
        <v>30</v>
      </c>
      <c r="E21" s="33"/>
      <c r="F21" s="14">
        <v>247.16</v>
      </c>
      <c r="G21" s="2">
        <f>SUM(G20+Table2[[#This Row],[income]]-Table2[[#This Row],[debit]])</f>
        <v>1653.4500000000007</v>
      </c>
    </row>
    <row r="22" spans="1:13">
      <c r="A22" t="str">
        <f>TEXT(Table2[[#This Row],[date]],"MMMM")</f>
        <v>January</v>
      </c>
      <c r="B22" s="3">
        <v>46028</v>
      </c>
      <c r="C22" t="s">
        <v>48</v>
      </c>
      <c r="D22" t="s">
        <v>22</v>
      </c>
      <c r="E22" s="33"/>
      <c r="F22" s="14">
        <v>614</v>
      </c>
      <c r="G22" s="2">
        <f>SUM(G21+Table2[[#This Row],[income]]-Table2[[#This Row],[debit]])</f>
        <v>1039.4500000000007</v>
      </c>
    </row>
    <row r="23" spans="1:13">
      <c r="A23" t="str">
        <f>TEXT(Table2[[#This Row],[date]],"MMMM")</f>
        <v>January</v>
      </c>
      <c r="B23" s="3">
        <v>46029</v>
      </c>
      <c r="C23" t="s">
        <v>49</v>
      </c>
      <c r="D23" t="s">
        <v>19</v>
      </c>
      <c r="E23" s="33"/>
      <c r="F23" s="14">
        <v>100.7</v>
      </c>
      <c r="G23" s="2">
        <f>SUM(G22+Table2[[#This Row],[income]]-Table2[[#This Row],[debit]])</f>
        <v>938.75000000000068</v>
      </c>
      <c r="K23" s="31"/>
      <c r="M23" s="32"/>
    </row>
    <row r="24" spans="1:13">
      <c r="A24" t="str">
        <f>TEXT(Table2[[#This Row],[date]],"MMMM")</f>
        <v>January</v>
      </c>
      <c r="B24" s="3">
        <v>46031</v>
      </c>
      <c r="C24" t="s">
        <v>50</v>
      </c>
      <c r="D24" t="s">
        <v>37</v>
      </c>
      <c r="E24" s="33"/>
      <c r="F24" s="14">
        <v>46.79</v>
      </c>
      <c r="G24" s="2">
        <f>SUM(G23+Table2[[#This Row],[income]]-Table2[[#This Row],[debit]])</f>
        <v>891.96000000000072</v>
      </c>
    </row>
    <row r="25" spans="1:13">
      <c r="A25" t="str">
        <f>TEXT(Table2[[#This Row],[date]],"MMMM")</f>
        <v>January</v>
      </c>
      <c r="B25" s="3">
        <v>46031</v>
      </c>
      <c r="C25" t="s">
        <v>51</v>
      </c>
      <c r="D25" t="s">
        <v>33</v>
      </c>
      <c r="E25" s="33"/>
      <c r="F25" s="14">
        <v>10.77</v>
      </c>
      <c r="G25" s="2">
        <f>SUM(G24+Table2[[#This Row],[income]]-Table2[[#This Row],[debit]])</f>
        <v>881.19000000000074</v>
      </c>
    </row>
    <row r="26" spans="1:13">
      <c r="A26" t="str">
        <f>TEXT(Table2[[#This Row],[date]],"MMMM")</f>
        <v>January</v>
      </c>
      <c r="B26" s="3">
        <v>46031</v>
      </c>
      <c r="C26" t="s">
        <v>52</v>
      </c>
      <c r="D26" t="s">
        <v>33</v>
      </c>
      <c r="E26" s="33"/>
      <c r="F26" s="14">
        <v>30.54</v>
      </c>
      <c r="G26" s="2">
        <f>SUM(G25+Table2[[#This Row],[income]]-Table2[[#This Row],[debit]])</f>
        <v>850.65000000000077</v>
      </c>
    </row>
    <row r="27" spans="1:13">
      <c r="A27" t="str">
        <f>TEXT(Table2[[#This Row],[date]],"MMMM")</f>
        <v>January</v>
      </c>
      <c r="B27" s="3">
        <v>46031</v>
      </c>
      <c r="C27" t="s">
        <v>53</v>
      </c>
      <c r="D27" t="s">
        <v>33</v>
      </c>
      <c r="E27" s="33"/>
      <c r="F27" s="14">
        <v>11</v>
      </c>
      <c r="G27" s="2">
        <f>SUM(G26+Table2[[#This Row],[income]]-Table2[[#This Row],[debit]])</f>
        <v>839.65000000000077</v>
      </c>
    </row>
    <row r="28" spans="1:13">
      <c r="A28" t="str">
        <f>TEXT(Table2[[#This Row],[date]],"MMMM")</f>
        <v>January</v>
      </c>
      <c r="B28" s="3">
        <v>46031</v>
      </c>
      <c r="C28" t="s">
        <v>54</v>
      </c>
      <c r="D28" t="s">
        <v>33</v>
      </c>
      <c r="E28" s="33"/>
      <c r="F28" s="14">
        <v>67</v>
      </c>
      <c r="G28" s="2">
        <f>SUM(G27+Table2[[#This Row],[income]]-Table2[[#This Row],[debit]])</f>
        <v>772.65000000000077</v>
      </c>
    </row>
    <row r="29" spans="1:13">
      <c r="A29" t="str">
        <f>TEXT(Table2[[#This Row],[date]],"MMMM")</f>
        <v>January</v>
      </c>
      <c r="B29" s="3">
        <v>46031</v>
      </c>
      <c r="C29" t="s">
        <v>55</v>
      </c>
      <c r="D29" t="s">
        <v>33</v>
      </c>
      <c r="E29" s="33"/>
      <c r="F29" s="14">
        <v>22.01</v>
      </c>
      <c r="G29" s="2">
        <f>SUM(G28+Table2[[#This Row],[income]]-Table2[[#This Row],[debit]])</f>
        <v>750.64000000000078</v>
      </c>
    </row>
    <row r="30" spans="1:13">
      <c r="A30" t="str">
        <f>TEXT(Table2[[#This Row],[date]],"MMMM")</f>
        <v>January</v>
      </c>
      <c r="B30" s="3">
        <v>46032</v>
      </c>
      <c r="C30" t="s">
        <v>56</v>
      </c>
      <c r="D30" t="s">
        <v>36</v>
      </c>
      <c r="E30" s="33"/>
      <c r="F30" s="14">
        <v>14.3</v>
      </c>
      <c r="G30" s="2">
        <f>SUM(G29+Table2[[#This Row],[income]]-Table2[[#This Row],[debit]])</f>
        <v>736.34000000000083</v>
      </c>
    </row>
    <row r="31" spans="1:13">
      <c r="A31" t="str">
        <f>TEXT(Table2[[#This Row],[date]],"MMMM")</f>
        <v>January</v>
      </c>
      <c r="B31" s="3">
        <v>46032</v>
      </c>
      <c r="C31" t="s">
        <v>31</v>
      </c>
      <c r="D31" t="s">
        <v>26</v>
      </c>
      <c r="E31" s="33"/>
      <c r="F31" s="14">
        <v>54.63</v>
      </c>
      <c r="G31" s="2">
        <f>SUM(G30+Table2[[#This Row],[income]]-Table2[[#This Row],[debit]])</f>
        <v>681.71000000000083</v>
      </c>
    </row>
    <row r="32" spans="1:13">
      <c r="A32" t="str">
        <f>TEXT(Table2[[#This Row],[date]],"MMMM")</f>
        <v>January</v>
      </c>
      <c r="B32" s="3">
        <v>46032</v>
      </c>
      <c r="C32" t="s">
        <v>57</v>
      </c>
      <c r="D32" t="s">
        <v>26</v>
      </c>
      <c r="E32" s="33"/>
      <c r="F32" s="14">
        <v>32.700000000000003</v>
      </c>
      <c r="G32" s="2">
        <f>SUM(G31+Table2[[#This Row],[income]]-Table2[[#This Row],[debit]])</f>
        <v>649.01000000000079</v>
      </c>
    </row>
    <row r="33" spans="1:7">
      <c r="A33" t="str">
        <f>TEXT(Table2[[#This Row],[date]],"MMMM")</f>
        <v>January</v>
      </c>
      <c r="B33" s="3">
        <v>46032</v>
      </c>
      <c r="C33" t="s">
        <v>58</v>
      </c>
      <c r="D33" t="s">
        <v>26</v>
      </c>
      <c r="E33" s="33"/>
      <c r="F33" s="14">
        <v>11.05</v>
      </c>
      <c r="G33" s="2">
        <f>SUM(G32+Table2[[#This Row],[income]]-Table2[[#This Row],[debit]])</f>
        <v>637.96000000000083</v>
      </c>
    </row>
    <row r="34" spans="1:7">
      <c r="A34" t="str">
        <f>TEXT(Table2[[#This Row],[date]],"MMMM")</f>
        <v>January</v>
      </c>
      <c r="B34" s="3">
        <v>46032</v>
      </c>
      <c r="C34" t="s">
        <v>59</v>
      </c>
      <c r="D34" t="s">
        <v>28</v>
      </c>
      <c r="E34" s="33"/>
      <c r="F34" s="14">
        <v>101.34</v>
      </c>
      <c r="G34" s="2">
        <f>SUM(G33+Table2[[#This Row],[income]]-Table2[[#This Row],[debit]])</f>
        <v>536.6200000000008</v>
      </c>
    </row>
    <row r="35" spans="1:7">
      <c r="A35" t="str">
        <f>TEXT(Table2[[#This Row],[date]],"MMMM")</f>
        <v>January</v>
      </c>
      <c r="B35" s="3">
        <v>46032</v>
      </c>
      <c r="C35" t="s">
        <v>60</v>
      </c>
      <c r="D35" t="s">
        <v>37</v>
      </c>
      <c r="E35" s="33"/>
      <c r="F35" s="14">
        <v>33.54</v>
      </c>
      <c r="G35" s="2">
        <f>SUM(G34+Table2[[#This Row],[income]]-Table2[[#This Row],[debit]])</f>
        <v>503.08000000000078</v>
      </c>
    </row>
    <row r="36" spans="1:7">
      <c r="A36" t="str">
        <f>TEXT(Table2[[#This Row],[date]],"MMMM")</f>
        <v>January</v>
      </c>
      <c r="B36" s="3">
        <v>46033</v>
      </c>
      <c r="C36" t="s">
        <v>61</v>
      </c>
      <c r="D36" t="s">
        <v>16</v>
      </c>
      <c r="E36" s="33"/>
      <c r="F36" s="14">
        <v>44.08</v>
      </c>
      <c r="G36" s="2">
        <f>SUM(G35+Table2[[#This Row],[income]]-Table2[[#This Row],[debit]])</f>
        <v>459.0000000000008</v>
      </c>
    </row>
    <row r="37" spans="1:7">
      <c r="A37" t="str">
        <f>TEXT(Table2[[#This Row],[date]],"MMMM")</f>
        <v>January</v>
      </c>
      <c r="B37" s="3">
        <v>46034</v>
      </c>
      <c r="C37" t="s">
        <v>62</v>
      </c>
      <c r="D37" t="s">
        <v>30</v>
      </c>
      <c r="E37" s="33"/>
      <c r="F37" s="14">
        <v>74.069999999999993</v>
      </c>
      <c r="G37" s="2">
        <f>SUM(G36+Table2[[#This Row],[income]]-Table2[[#This Row],[debit]])</f>
        <v>384.9300000000008</v>
      </c>
    </row>
    <row r="38" spans="1:7">
      <c r="A38" t="str">
        <f>TEXT(Table2[[#This Row],[date]],"MMMM")</f>
        <v>January</v>
      </c>
      <c r="B38" s="3">
        <v>46034</v>
      </c>
      <c r="C38" t="s">
        <v>62</v>
      </c>
      <c r="D38" t="s">
        <v>30</v>
      </c>
      <c r="E38" s="33"/>
      <c r="F38" s="14">
        <v>80.099999999999994</v>
      </c>
      <c r="G38" s="2">
        <f>SUM(G37+Table2[[#This Row],[income]]-Table2[[#This Row],[debit]])</f>
        <v>304.83000000000084</v>
      </c>
    </row>
    <row r="39" spans="1:7">
      <c r="A39" t="str">
        <f>TEXT(Table2[[#This Row],[date]],"MMMM")</f>
        <v>January</v>
      </c>
      <c r="B39" s="3">
        <v>46034</v>
      </c>
      <c r="C39" t="s">
        <v>57</v>
      </c>
      <c r="D39" t="s">
        <v>26</v>
      </c>
      <c r="E39" s="33"/>
      <c r="F39" s="14">
        <v>3.74</v>
      </c>
      <c r="G39" s="2">
        <f>SUM(G38+Table2[[#This Row],[income]]-Table2[[#This Row],[debit]])</f>
        <v>301.09000000000083</v>
      </c>
    </row>
    <row r="40" spans="1:7">
      <c r="A40" t="str">
        <f>TEXT(Table2[[#This Row],[date]],"MMMM")</f>
        <v>January</v>
      </c>
      <c r="B40" s="3">
        <v>46035</v>
      </c>
      <c r="C40" t="s">
        <v>57</v>
      </c>
      <c r="D40" t="s">
        <v>26</v>
      </c>
      <c r="E40" s="33"/>
      <c r="F40" s="14">
        <v>38.86</v>
      </c>
      <c r="G40" s="2">
        <f>SUM(G39+Table2[[#This Row],[income]]-Table2[[#This Row],[debit]])</f>
        <v>262.23000000000081</v>
      </c>
    </row>
    <row r="41" spans="1:7">
      <c r="A41" t="str">
        <f>TEXT(Table2[[#This Row],[date]],"MMMM")</f>
        <v>January</v>
      </c>
      <c r="B41" s="3">
        <v>46036</v>
      </c>
      <c r="C41" t="s">
        <v>63</v>
      </c>
      <c r="D41" t="s">
        <v>36</v>
      </c>
      <c r="E41" s="33"/>
      <c r="F41" s="14">
        <v>11</v>
      </c>
      <c r="G41" s="2">
        <f>SUM(G40+Table2[[#This Row],[income]]-Table2[[#This Row],[debit]])</f>
        <v>251.23000000000081</v>
      </c>
    </row>
    <row r="42" spans="1:7">
      <c r="A42" t="str">
        <f>TEXT(Table2[[#This Row],[date]],"MMMM")</f>
        <v>January</v>
      </c>
      <c r="B42" s="3">
        <v>46036</v>
      </c>
      <c r="C42" t="s">
        <v>64</v>
      </c>
      <c r="D42" t="s">
        <v>19</v>
      </c>
      <c r="E42" s="33"/>
      <c r="F42" s="14">
        <v>123.05</v>
      </c>
      <c r="G42" s="2">
        <f>SUM(G41+Table2[[#This Row],[income]]-Table2[[#This Row],[debit]])</f>
        <v>128.1800000000008</v>
      </c>
    </row>
    <row r="43" spans="1:7">
      <c r="A43" t="str">
        <f>TEXT(Table2[[#This Row],[date]],"MMMM")</f>
        <v>January</v>
      </c>
      <c r="B43" s="3">
        <v>46037</v>
      </c>
      <c r="C43" t="s">
        <v>50</v>
      </c>
      <c r="D43" t="s">
        <v>37</v>
      </c>
      <c r="E43" s="33"/>
      <c r="F43" s="14">
        <v>50</v>
      </c>
      <c r="G43" s="2">
        <f>SUM(G42+Table2[[#This Row],[income]]-Table2[[#This Row],[debit]])</f>
        <v>78.180000000000803</v>
      </c>
    </row>
    <row r="44" spans="1:7">
      <c r="A44" t="str">
        <f>TEXT(Table2[[#This Row],[date]],"MMMM")</f>
        <v>January</v>
      </c>
      <c r="B44" s="3">
        <v>46037</v>
      </c>
      <c r="C44" t="s">
        <v>25</v>
      </c>
      <c r="D44" t="s">
        <v>14</v>
      </c>
      <c r="E44" s="33">
        <v>2033.53</v>
      </c>
      <c r="F44" s="14"/>
      <c r="G44" s="2">
        <f>SUM(G43+Table2[[#This Row],[income]]-Table2[[#This Row],[debit]])</f>
        <v>2111.7100000000009</v>
      </c>
    </row>
    <row r="45" spans="1:7">
      <c r="A45" t="str">
        <f>TEXT(Table2[[#This Row],[date]],"MMMM")</f>
        <v>January</v>
      </c>
      <c r="B45" s="3">
        <v>46037</v>
      </c>
      <c r="C45" t="s">
        <v>65</v>
      </c>
      <c r="D45" t="s">
        <v>14</v>
      </c>
      <c r="E45" s="33">
        <v>1911.27</v>
      </c>
      <c r="F45" s="14"/>
      <c r="G45" s="2">
        <f>SUM(G44+Table2[[#This Row],[income]]-Table2[[#This Row],[debit]])</f>
        <v>4022.9800000000009</v>
      </c>
    </row>
    <row r="46" spans="1:7">
      <c r="A46" t="str">
        <f>TEXT(Table2[[#This Row],[date]],"MMMM")</f>
        <v>January</v>
      </c>
      <c r="B46" s="3">
        <v>46037</v>
      </c>
      <c r="C46" t="s">
        <v>66</v>
      </c>
      <c r="D46" t="s">
        <v>33</v>
      </c>
      <c r="E46" s="33"/>
      <c r="F46" s="14">
        <v>19.940000000000001</v>
      </c>
      <c r="G46" s="2">
        <f>SUM(G45+Table2[[#This Row],[income]]-Table2[[#This Row],[debit]])</f>
        <v>4003.0400000000009</v>
      </c>
    </row>
    <row r="47" spans="1:7">
      <c r="A47" t="str">
        <f>TEXT(Table2[[#This Row],[date]],"MMMM")</f>
        <v>January</v>
      </c>
      <c r="B47" s="3">
        <v>46038</v>
      </c>
      <c r="C47" t="s">
        <v>67</v>
      </c>
      <c r="D47" t="s">
        <v>16</v>
      </c>
      <c r="E47" s="33"/>
      <c r="F47" s="14">
        <v>5.99</v>
      </c>
      <c r="G47" s="2">
        <f>SUM(G46+Table2[[#This Row],[income]]-Table2[[#This Row],[debit]])</f>
        <v>3997.0500000000011</v>
      </c>
    </row>
    <row r="48" spans="1:7">
      <c r="A48" t="str">
        <f>TEXT(Table2[[#This Row],[date]],"MMMM")</f>
        <v>January</v>
      </c>
      <c r="B48" s="3">
        <v>46038</v>
      </c>
      <c r="C48" t="s">
        <v>32</v>
      </c>
      <c r="D48" t="s">
        <v>26</v>
      </c>
      <c r="E48" s="33"/>
      <c r="F48" s="14">
        <v>13.15</v>
      </c>
      <c r="G48" s="2">
        <f>SUM(G47+Table2[[#This Row],[income]]-Table2[[#This Row],[debit]])</f>
        <v>3983.900000000001</v>
      </c>
    </row>
    <row r="49" spans="1:9">
      <c r="A49" t="str">
        <f>TEXT(Table2[[#This Row],[date]],"MMMM")</f>
        <v>January</v>
      </c>
      <c r="B49" s="3">
        <v>46038</v>
      </c>
      <c r="C49" t="s">
        <v>68</v>
      </c>
      <c r="D49" t="s">
        <v>36</v>
      </c>
      <c r="E49" s="33"/>
      <c r="F49" s="14">
        <v>39.33</v>
      </c>
      <c r="G49" s="2">
        <f>SUM(G48+Table2[[#This Row],[income]]-Table2[[#This Row],[debit]])</f>
        <v>3944.5700000000011</v>
      </c>
    </row>
    <row r="50" spans="1:9">
      <c r="A50" t="str">
        <f>TEXT(Table2[[#This Row],[date]],"MMMM")</f>
        <v>January</v>
      </c>
      <c r="B50" s="3">
        <v>46038</v>
      </c>
      <c r="C50" t="s">
        <v>68</v>
      </c>
      <c r="D50" t="s">
        <v>36</v>
      </c>
      <c r="E50" s="33"/>
      <c r="F50" s="14">
        <v>17.47</v>
      </c>
      <c r="G50" s="2">
        <f>SUM(G49+Table2[[#This Row],[income]]-Table2[[#This Row],[debit]])</f>
        <v>3927.1000000000013</v>
      </c>
    </row>
    <row r="51" spans="1:9">
      <c r="A51" t="str">
        <f>TEXT(Table2[[#This Row],[date]],"MMMM")</f>
        <v>January</v>
      </c>
      <c r="B51" s="3">
        <v>46038</v>
      </c>
      <c r="C51" t="s">
        <v>69</v>
      </c>
      <c r="D51" t="s">
        <v>19</v>
      </c>
      <c r="E51" s="33"/>
      <c r="F51" s="14">
        <v>26.06</v>
      </c>
      <c r="G51" s="2">
        <f>SUM(G50+Table2[[#This Row],[income]]-Table2[[#This Row],[debit]])</f>
        <v>3901.0400000000013</v>
      </c>
    </row>
    <row r="52" spans="1:9">
      <c r="A52" t="str">
        <f>TEXT(Table2[[#This Row],[date]],"MMMM")</f>
        <v>January</v>
      </c>
      <c r="B52" s="3">
        <v>46038</v>
      </c>
      <c r="C52" t="s">
        <v>70</v>
      </c>
      <c r="D52" t="s">
        <v>16</v>
      </c>
      <c r="E52" s="33"/>
      <c r="F52" s="14"/>
      <c r="G52" s="2">
        <f>SUM(G51+Table2[[#This Row],[income]]-Table2[[#This Row],[debit]])</f>
        <v>3901.0400000000013</v>
      </c>
      <c r="H52" t="s">
        <v>45</v>
      </c>
      <c r="I52">
        <v>1.99</v>
      </c>
    </row>
    <row r="53" spans="1:9">
      <c r="A53" t="str">
        <f>TEXT(Table2[[#This Row],[date]],"MMMM")</f>
        <v>January</v>
      </c>
      <c r="B53" s="3">
        <v>46039</v>
      </c>
      <c r="C53" t="s">
        <v>71</v>
      </c>
      <c r="D53" t="s">
        <v>26</v>
      </c>
      <c r="E53" s="33"/>
      <c r="F53" s="14">
        <v>22.71</v>
      </c>
      <c r="G53" s="2">
        <f>SUM(G52+Table2[[#This Row],[income]]-Table2[[#This Row],[debit]])</f>
        <v>3878.3300000000013</v>
      </c>
    </row>
    <row r="54" spans="1:9">
      <c r="A54" t="str">
        <f>TEXT(Table2[[#This Row],[date]],"MMMM")</f>
        <v>January</v>
      </c>
      <c r="B54" s="3">
        <v>46039</v>
      </c>
      <c r="C54" t="s">
        <v>68</v>
      </c>
      <c r="D54" t="s">
        <v>36</v>
      </c>
      <c r="E54" s="33"/>
      <c r="F54" s="14">
        <v>15.28</v>
      </c>
      <c r="G54" s="2">
        <f>SUM(G53+Table2[[#This Row],[income]]-Table2[[#This Row],[debit]])</f>
        <v>3863.0500000000011</v>
      </c>
    </row>
    <row r="55" spans="1:9">
      <c r="A55" t="str">
        <f>TEXT(Table2[[#This Row],[date]],"MMMM")</f>
        <v>January</v>
      </c>
      <c r="B55" s="3">
        <v>46039</v>
      </c>
      <c r="C55" t="s">
        <v>68</v>
      </c>
      <c r="D55" t="s">
        <v>36</v>
      </c>
      <c r="E55" s="33"/>
      <c r="F55" s="14">
        <v>13.11</v>
      </c>
      <c r="G55" s="2">
        <f>SUM(G54+Table2[[#This Row],[income]]-Table2[[#This Row],[debit]])</f>
        <v>3849.940000000001</v>
      </c>
    </row>
    <row r="56" spans="1:9">
      <c r="A56" t="str">
        <f>TEXT(Table2[[#This Row],[date]],"MMMM")</f>
        <v>January</v>
      </c>
      <c r="B56" s="3">
        <v>46039</v>
      </c>
      <c r="C56" t="s">
        <v>68</v>
      </c>
      <c r="D56" t="s">
        <v>36</v>
      </c>
      <c r="E56" s="33"/>
      <c r="F56" s="14">
        <v>4.71</v>
      </c>
      <c r="G56" s="2">
        <f>SUM(G55+Table2[[#This Row],[income]]-Table2[[#This Row],[debit]])</f>
        <v>3845.2300000000009</v>
      </c>
    </row>
    <row r="57" spans="1:9">
      <c r="A57" t="str">
        <f>TEXT(Table2[[#This Row],[date]],"MMMM")</f>
        <v>January</v>
      </c>
      <c r="B57" s="3">
        <v>46039</v>
      </c>
      <c r="C57" t="s">
        <v>52</v>
      </c>
      <c r="D57" t="s">
        <v>37</v>
      </c>
      <c r="E57" s="33"/>
      <c r="F57" s="14">
        <v>24.24</v>
      </c>
      <c r="G57" s="2">
        <f>SUM(G56+Table2[[#This Row],[income]]-Table2[[#This Row],[debit]])</f>
        <v>3820.9900000000011</v>
      </c>
    </row>
    <row r="58" spans="1:9">
      <c r="A58" t="str">
        <f>TEXT(Table2[[#This Row],[date]],"MMMM")</f>
        <v>January</v>
      </c>
      <c r="B58" s="3">
        <v>46039</v>
      </c>
      <c r="C58" t="s">
        <v>72</v>
      </c>
      <c r="D58" t="s">
        <v>33</v>
      </c>
      <c r="E58" s="33"/>
      <c r="F58" s="14">
        <v>50</v>
      </c>
      <c r="G58" s="2">
        <f>SUM(G57+Table2[[#This Row],[income]]-Table2[[#This Row],[debit]])</f>
        <v>3770.9900000000011</v>
      </c>
    </row>
    <row r="59" spans="1:9">
      <c r="A59" t="str">
        <f>TEXT(Table2[[#This Row],[date]],"MMMM")</f>
        <v>January</v>
      </c>
      <c r="B59" s="3">
        <v>46039</v>
      </c>
      <c r="C59" t="s">
        <v>57</v>
      </c>
      <c r="D59" t="s">
        <v>26</v>
      </c>
      <c r="E59" s="33"/>
      <c r="F59" s="14">
        <v>37.42</v>
      </c>
      <c r="G59" s="2">
        <f>SUM(G58+Table2[[#This Row],[income]]-Table2[[#This Row],[debit]])</f>
        <v>3733.5700000000011</v>
      </c>
    </row>
    <row r="60" spans="1:9">
      <c r="A60" t="str">
        <f>TEXT(Table2[[#This Row],[date]],"MMMM")</f>
        <v>January</v>
      </c>
      <c r="B60" s="3">
        <v>46039</v>
      </c>
      <c r="C60" t="s">
        <v>32</v>
      </c>
      <c r="D60" t="s">
        <v>26</v>
      </c>
      <c r="E60" s="33"/>
      <c r="F60" s="14">
        <v>43.92</v>
      </c>
      <c r="G60" s="2">
        <f>SUM(G59+Table2[[#This Row],[income]]-Table2[[#This Row],[debit]])</f>
        <v>3689.650000000001</v>
      </c>
    </row>
    <row r="61" spans="1:9">
      <c r="A61" t="str">
        <f>TEXT(Table2[[#This Row],[date]],"MMMM")</f>
        <v>January</v>
      </c>
      <c r="B61" s="3">
        <v>46040</v>
      </c>
      <c r="C61" t="s">
        <v>73</v>
      </c>
      <c r="D61" t="s">
        <v>33</v>
      </c>
      <c r="E61" s="33"/>
      <c r="F61" s="14">
        <v>55.02</v>
      </c>
      <c r="G61" s="2">
        <f>SUM(G60+Table2[[#This Row],[income]]-Table2[[#This Row],[debit]])</f>
        <v>3634.630000000001</v>
      </c>
    </row>
    <row r="62" spans="1:9">
      <c r="A62" t="str">
        <f>TEXT(Table2[[#This Row],[date]],"MMMM")</f>
        <v>January</v>
      </c>
      <c r="B62" s="3">
        <v>46040</v>
      </c>
      <c r="C62" t="s">
        <v>74</v>
      </c>
      <c r="D62" t="s">
        <v>30</v>
      </c>
      <c r="E62" s="33"/>
      <c r="F62" s="14">
        <v>86.64</v>
      </c>
      <c r="G62" s="2">
        <f>SUM(G61+Table2[[#This Row],[income]]-Table2[[#This Row],[debit]])</f>
        <v>3547.9900000000011</v>
      </c>
    </row>
    <row r="63" spans="1:9">
      <c r="A63" t="str">
        <f>TEXT(Table2[[#This Row],[date]],"MMMM")</f>
        <v>January</v>
      </c>
      <c r="B63" s="3">
        <v>46040</v>
      </c>
      <c r="C63" t="s">
        <v>74</v>
      </c>
      <c r="D63" t="s">
        <v>30</v>
      </c>
      <c r="E63" s="33"/>
      <c r="F63" s="14">
        <v>7.74</v>
      </c>
      <c r="G63" s="2">
        <f>SUM(G62+Table2[[#This Row],[income]]-Table2[[#This Row],[debit]])</f>
        <v>3540.2500000000014</v>
      </c>
    </row>
    <row r="64" spans="1:9">
      <c r="A64" t="str">
        <f>TEXT(Table2[[#This Row],[date]],"MMMM")</f>
        <v>January</v>
      </c>
      <c r="B64" s="3">
        <v>46041</v>
      </c>
      <c r="C64" t="s">
        <v>75</v>
      </c>
      <c r="D64" t="s">
        <v>36</v>
      </c>
      <c r="E64" s="33"/>
      <c r="F64" s="14">
        <v>18.86</v>
      </c>
      <c r="G64" s="2">
        <f>SUM(G63+Table2[[#This Row],[income]]-Table2[[#This Row],[debit]])</f>
        <v>3521.3900000000012</v>
      </c>
    </row>
    <row r="65" spans="1:12">
      <c r="A65" t="str">
        <f>TEXT(Table2[[#This Row],[date]],"MMMM")</f>
        <v>January</v>
      </c>
      <c r="B65" s="3">
        <v>46041</v>
      </c>
      <c r="C65" t="s">
        <v>76</v>
      </c>
      <c r="D65" t="s">
        <v>36</v>
      </c>
      <c r="E65" s="33"/>
      <c r="F65" s="14">
        <v>17.29</v>
      </c>
      <c r="G65" s="2">
        <f>SUM(G64+Table2[[#This Row],[income]]-Table2[[#This Row],[debit]])</f>
        <v>3504.1000000000013</v>
      </c>
    </row>
    <row r="66" spans="1:12">
      <c r="A66" t="str">
        <f>TEXT(Table2[[#This Row],[date]],"MMMM")</f>
        <v>January</v>
      </c>
      <c r="B66" s="3">
        <v>46041</v>
      </c>
      <c r="C66" t="s">
        <v>77</v>
      </c>
      <c r="D66" t="s">
        <v>16</v>
      </c>
      <c r="E66" s="33"/>
      <c r="F66" s="14">
        <v>9.99</v>
      </c>
      <c r="G66" s="2">
        <f>SUM(G65+Table2[[#This Row],[income]]-Table2[[#This Row],[debit]])</f>
        <v>3494.1100000000015</v>
      </c>
    </row>
    <row r="67" spans="1:12">
      <c r="A67" t="str">
        <f>TEXT(Table2[[#This Row],[date]],"MMMM")</f>
        <v>January</v>
      </c>
      <c r="B67" s="3">
        <v>46042</v>
      </c>
      <c r="C67" t="s">
        <v>78</v>
      </c>
      <c r="D67" t="s">
        <v>33</v>
      </c>
      <c r="E67" s="33"/>
      <c r="F67" s="14">
        <v>22.03</v>
      </c>
      <c r="G67" s="2">
        <f>SUM(G66+Table2[[#This Row],[income]]-Table2[[#This Row],[debit]])</f>
        <v>3472.0800000000013</v>
      </c>
    </row>
    <row r="68" spans="1:12">
      <c r="A68" t="str">
        <f>TEXT(Table2[[#This Row],[date]],"MMMM")</f>
        <v>January</v>
      </c>
      <c r="B68" s="3">
        <v>46043</v>
      </c>
      <c r="C68" t="s">
        <v>79</v>
      </c>
      <c r="D68" t="s">
        <v>36</v>
      </c>
      <c r="E68" s="33"/>
      <c r="F68" s="14">
        <v>11.38</v>
      </c>
      <c r="G68" s="2">
        <f>SUM(G67+Table2[[#This Row],[income]]-Table2[[#This Row],[debit]])</f>
        <v>3460.7000000000012</v>
      </c>
    </row>
    <row r="69" spans="1:12">
      <c r="A69" t="str">
        <f>TEXT(Table2[[#This Row],[date]],"MMMM")</f>
        <v>January</v>
      </c>
      <c r="B69" s="3">
        <v>46044</v>
      </c>
      <c r="C69" t="s">
        <v>80</v>
      </c>
      <c r="D69" t="s">
        <v>33</v>
      </c>
      <c r="E69" s="33"/>
      <c r="F69" s="14">
        <v>26.26</v>
      </c>
      <c r="G69" s="2">
        <f>SUM(G68+Table2[[#This Row],[income]]-Table2[[#This Row],[debit]])</f>
        <v>3434.440000000001</v>
      </c>
    </row>
    <row r="70" spans="1:12">
      <c r="A70" t="str">
        <f>TEXT(Table2[[#This Row],[date]],"MMMM")</f>
        <v>January</v>
      </c>
      <c r="B70" s="3">
        <v>46044</v>
      </c>
      <c r="C70" t="s">
        <v>81</v>
      </c>
      <c r="D70" t="s">
        <v>16</v>
      </c>
      <c r="E70" s="33"/>
      <c r="F70" s="14">
        <v>20</v>
      </c>
      <c r="G70" s="2">
        <f>SUM(G69+Table2[[#This Row],[income]]-Table2[[#This Row],[debit]])</f>
        <v>3414.440000000001</v>
      </c>
    </row>
    <row r="71" spans="1:12">
      <c r="A71" t="str">
        <f>TEXT(Table2[[#This Row],[date]],"MMMM")</f>
        <v>January</v>
      </c>
      <c r="B71" s="3">
        <v>46044</v>
      </c>
      <c r="C71" t="s">
        <v>82</v>
      </c>
      <c r="D71" t="s">
        <v>33</v>
      </c>
      <c r="E71" s="33"/>
      <c r="F71" s="14">
        <v>34.700000000000003</v>
      </c>
      <c r="G71" s="2">
        <f>SUM(G70+Table2[[#This Row],[income]]-Table2[[#This Row],[debit]])</f>
        <v>3379.7400000000011</v>
      </c>
      <c r="H71" t="s">
        <v>45</v>
      </c>
    </row>
    <row r="72" spans="1:12">
      <c r="A72" t="str">
        <f>TEXT(Table2[[#This Row],[date]],"MMMM")</f>
        <v>January</v>
      </c>
      <c r="B72" s="3">
        <v>46045</v>
      </c>
      <c r="C72" t="s">
        <v>57</v>
      </c>
      <c r="D72" t="s">
        <v>26</v>
      </c>
      <c r="E72" s="33"/>
      <c r="F72" s="14">
        <v>72.03</v>
      </c>
      <c r="G72" s="2">
        <f>SUM(G71+Table2[[#This Row],[income]]-Table2[[#This Row],[debit]])</f>
        <v>3307.7100000000009</v>
      </c>
    </row>
    <row r="73" spans="1:12">
      <c r="A73" t="str">
        <f>TEXT(Table2[[#This Row],[date]],"MMMM")</f>
        <v>January</v>
      </c>
      <c r="B73" s="3">
        <v>46045</v>
      </c>
      <c r="C73" t="s">
        <v>32</v>
      </c>
      <c r="D73" t="s">
        <v>26</v>
      </c>
      <c r="E73" s="33"/>
      <c r="F73" s="14">
        <v>42.67</v>
      </c>
      <c r="G73" s="2">
        <f>SUM(G72+Table2[[#This Row],[income]]-Table2[[#This Row],[debit]])</f>
        <v>3265.0400000000009</v>
      </c>
    </row>
    <row r="74" spans="1:12">
      <c r="A74" t="str">
        <f>TEXT(Table2[[#This Row],[date]],"MMMM")</f>
        <v>January</v>
      </c>
      <c r="B74" s="3">
        <v>46045</v>
      </c>
      <c r="C74" t="s">
        <v>83</v>
      </c>
      <c r="D74" t="s">
        <v>36</v>
      </c>
      <c r="E74" s="33"/>
      <c r="F74" s="14">
        <v>29.59</v>
      </c>
      <c r="G74" s="2">
        <f>SUM(G73+Table2[[#This Row],[income]]-Table2[[#This Row],[debit]])</f>
        <v>3235.4500000000007</v>
      </c>
    </row>
    <row r="75" spans="1:12">
      <c r="A75" t="str">
        <f>TEXT(Table2[[#This Row],[date]],"MMMM")</f>
        <v>January</v>
      </c>
      <c r="B75" s="3">
        <v>46045</v>
      </c>
      <c r="C75" t="s">
        <v>84</v>
      </c>
      <c r="D75" t="s">
        <v>37</v>
      </c>
      <c r="E75" s="33"/>
      <c r="F75" s="14">
        <v>25.49</v>
      </c>
      <c r="G75" s="2">
        <f>SUM(G74+Table2[[#This Row],[income]]-Table2[[#This Row],[debit]])</f>
        <v>3209.9600000000009</v>
      </c>
    </row>
    <row r="76" spans="1:12">
      <c r="A76" t="str">
        <f>TEXT(Table2[[#This Row],[date]],"MMMM")</f>
        <v>January</v>
      </c>
      <c r="B76" s="3">
        <v>46047</v>
      </c>
      <c r="C76" t="s">
        <v>85</v>
      </c>
      <c r="D76" t="s">
        <v>36</v>
      </c>
      <c r="E76" s="33"/>
      <c r="F76" s="14">
        <v>9.84</v>
      </c>
      <c r="G76" s="2">
        <f>SUM(G75+Table2[[#This Row],[income]]-Table2[[#This Row],[debit]])</f>
        <v>3200.1200000000008</v>
      </c>
    </row>
    <row r="77" spans="1:12">
      <c r="A77" t="str">
        <f>TEXT(Table2[[#This Row],[date]],"MMMM")</f>
        <v>January</v>
      </c>
      <c r="B77" s="3">
        <v>46047</v>
      </c>
      <c r="C77" t="s">
        <v>31</v>
      </c>
      <c r="D77" t="s">
        <v>26</v>
      </c>
      <c r="E77" s="33"/>
      <c r="F77" s="14">
        <v>38.22</v>
      </c>
      <c r="G77" s="2">
        <f>SUM(G76+Table2[[#This Row],[income]]-Table2[[#This Row],[debit]])</f>
        <v>3161.900000000001</v>
      </c>
      <c r="L77" s="9"/>
    </row>
    <row r="78" spans="1:12">
      <c r="A78" t="str">
        <f>TEXT(Table2[[#This Row],[date]],"MMMM")</f>
        <v>January</v>
      </c>
      <c r="B78" s="3">
        <v>46047</v>
      </c>
      <c r="C78" t="s">
        <v>74</v>
      </c>
      <c r="D78" t="s">
        <v>33</v>
      </c>
      <c r="E78" s="33"/>
      <c r="F78" s="14">
        <v>24.57</v>
      </c>
      <c r="G78" s="2">
        <f>SUM(G77+Table2[[#This Row],[income]]-Table2[[#This Row],[debit]])</f>
        <v>3137.3300000000008</v>
      </c>
    </row>
    <row r="79" spans="1:12">
      <c r="A79" t="str">
        <f>TEXT(Table2[[#This Row],[date]],"MMMM")</f>
        <v>January</v>
      </c>
      <c r="B79" s="3">
        <v>46048</v>
      </c>
      <c r="C79" t="s">
        <v>86</v>
      </c>
      <c r="D79" t="s">
        <v>26</v>
      </c>
      <c r="E79" s="33"/>
      <c r="F79" s="14">
        <v>3.76</v>
      </c>
      <c r="G79" s="2">
        <f>SUM(G78+Table2[[#This Row],[income]]-Table2[[#This Row],[debit]])</f>
        <v>3133.5700000000006</v>
      </c>
    </row>
    <row r="80" spans="1:12">
      <c r="A80" t="str">
        <f>TEXT(Table2[[#This Row],[date]],"MMMM")</f>
        <v>January</v>
      </c>
      <c r="B80" s="3">
        <v>46048</v>
      </c>
      <c r="C80" t="s">
        <v>87</v>
      </c>
      <c r="D80" t="s">
        <v>26</v>
      </c>
      <c r="E80" s="33"/>
      <c r="F80" s="14">
        <v>3.52</v>
      </c>
      <c r="G80" s="2">
        <f>SUM(G79+Table2[[#This Row],[income]]-Table2[[#This Row],[debit]])</f>
        <v>3130.0500000000006</v>
      </c>
    </row>
    <row r="81" spans="1:9">
      <c r="A81" t="str">
        <f>TEXT(Table2[[#This Row],[date]],"MMMM")</f>
        <v>January</v>
      </c>
      <c r="B81" s="3">
        <v>46048</v>
      </c>
      <c r="C81" t="s">
        <v>88</v>
      </c>
      <c r="D81" t="s">
        <v>26</v>
      </c>
      <c r="E81" s="33"/>
      <c r="F81" s="14">
        <v>29.57</v>
      </c>
      <c r="G81" s="2">
        <f>SUM(G80+Table2[[#This Row],[income]]-Table2[[#This Row],[debit]])</f>
        <v>3100.4800000000005</v>
      </c>
    </row>
    <row r="82" spans="1:9">
      <c r="A82" t="str">
        <f>TEXT(Table2[[#This Row],[date]],"MMMM")</f>
        <v>January</v>
      </c>
      <c r="B82" s="3">
        <v>46048</v>
      </c>
      <c r="C82" t="s">
        <v>89</v>
      </c>
      <c r="D82" t="s">
        <v>19</v>
      </c>
      <c r="E82" s="33"/>
      <c r="F82" s="14">
        <v>113.93</v>
      </c>
      <c r="G82" s="2">
        <f>SUM(G81+Table2[[#This Row],[income]]-Table2[[#This Row],[debit]])</f>
        <v>2986.5500000000006</v>
      </c>
    </row>
    <row r="83" spans="1:9">
      <c r="A83" t="str">
        <f>TEXT(Table2[[#This Row],[date]],"MMMM")</f>
        <v>January</v>
      </c>
      <c r="B83" s="3">
        <v>46049</v>
      </c>
      <c r="C83" t="s">
        <v>72</v>
      </c>
      <c r="D83" t="s">
        <v>37</v>
      </c>
      <c r="E83" s="33"/>
      <c r="F83" s="14">
        <v>100</v>
      </c>
      <c r="G83" s="2">
        <f>SUM(G82+Table2[[#This Row],[income]]-Table2[[#This Row],[debit]])</f>
        <v>2886.5500000000006</v>
      </c>
    </row>
    <row r="84" spans="1:9">
      <c r="A84" t="str">
        <f>TEXT(Table2[[#This Row],[date]],"MMMM")</f>
        <v>January</v>
      </c>
      <c r="B84" s="3">
        <v>46049</v>
      </c>
      <c r="C84" t="s">
        <v>90</v>
      </c>
      <c r="D84" t="s">
        <v>33</v>
      </c>
      <c r="E84" s="33"/>
      <c r="F84" s="14">
        <v>59.13</v>
      </c>
      <c r="G84" s="2">
        <f>SUM(G83+Table2[[#This Row],[income]]-Table2[[#This Row],[debit]])</f>
        <v>2827.4200000000005</v>
      </c>
    </row>
    <row r="85" spans="1:9">
      <c r="A85" t="str">
        <f>TEXT(Table2[[#This Row],[date]],"MMMM")</f>
        <v>January</v>
      </c>
      <c r="B85" s="3">
        <v>46049</v>
      </c>
      <c r="C85" t="s">
        <v>90</v>
      </c>
      <c r="D85" t="s">
        <v>33</v>
      </c>
      <c r="E85" s="33"/>
      <c r="F85" s="14">
        <v>12.2</v>
      </c>
      <c r="G85" s="2">
        <f>SUM(G84+Table2[[#This Row],[income]]-Table2[[#This Row],[debit]])</f>
        <v>2815.2200000000007</v>
      </c>
    </row>
    <row r="86" spans="1:9">
      <c r="A86" t="str">
        <f>TEXT(Table2[[#This Row],[date]],"MMMM")</f>
        <v>January</v>
      </c>
      <c r="B86" s="3">
        <v>46050</v>
      </c>
      <c r="C86" t="s">
        <v>91</v>
      </c>
      <c r="D86" t="s">
        <v>26</v>
      </c>
      <c r="E86" s="33"/>
      <c r="F86" s="14">
        <v>10.029999999999999</v>
      </c>
      <c r="G86" s="2">
        <f>SUM(G85+Table2[[#This Row],[income]]-Table2[[#This Row],[debit]])</f>
        <v>2805.1900000000005</v>
      </c>
    </row>
    <row r="87" spans="1:9">
      <c r="A87" t="str">
        <f>TEXT(Table2[[#This Row],[date]],"MMMM")</f>
        <v>January</v>
      </c>
      <c r="B87" s="3">
        <v>46050</v>
      </c>
      <c r="C87" t="s">
        <v>52</v>
      </c>
      <c r="D87" t="s">
        <v>37</v>
      </c>
      <c r="E87" s="33"/>
      <c r="F87" s="14">
        <v>30.54</v>
      </c>
      <c r="G87" s="2">
        <f>SUM(G86+Table2[[#This Row],[income]]-Table2[[#This Row],[debit]])</f>
        <v>2774.6500000000005</v>
      </c>
    </row>
    <row r="88" spans="1:9">
      <c r="A88" t="str">
        <f>TEXT(Table2[[#This Row],[date]],"MMMM")</f>
        <v>January</v>
      </c>
      <c r="B88" s="3">
        <v>46050</v>
      </c>
      <c r="C88" t="s">
        <v>92</v>
      </c>
      <c r="D88" t="s">
        <v>19</v>
      </c>
      <c r="E88" s="33"/>
      <c r="F88" s="14">
        <v>64.599999999999994</v>
      </c>
      <c r="G88" s="2">
        <f>SUM(G87+Table2[[#This Row],[income]]-Table2[[#This Row],[debit]])</f>
        <v>2710.0500000000006</v>
      </c>
    </row>
    <row r="89" spans="1:9">
      <c r="A89" t="str">
        <f>TEXT(Table2[[#This Row],[date]],"MMMM")</f>
        <v>January</v>
      </c>
      <c r="B89" s="3">
        <v>46051</v>
      </c>
      <c r="C89" t="s">
        <v>93</v>
      </c>
      <c r="D89" t="s">
        <v>14</v>
      </c>
      <c r="E89" s="33">
        <v>2102.15</v>
      </c>
      <c r="F89" s="14"/>
      <c r="G89" s="2">
        <f>SUM(G88+Table2[[#This Row],[income]]-Table2[[#This Row],[debit]])</f>
        <v>4812.2000000000007</v>
      </c>
    </row>
    <row r="90" spans="1:9">
      <c r="A90" t="str">
        <f>TEXT(Table2[[#This Row],[date]],"MMMM")</f>
        <v>January</v>
      </c>
      <c r="B90" s="3">
        <v>46051</v>
      </c>
      <c r="C90" t="s">
        <v>93</v>
      </c>
      <c r="D90" t="s">
        <v>14</v>
      </c>
      <c r="E90" s="33">
        <v>4548.6099999999997</v>
      </c>
      <c r="F90" s="14"/>
      <c r="G90" s="2">
        <f>SUM(G89+Table2[[#This Row],[income]]-Table2[[#This Row],[debit]])</f>
        <v>9360.8100000000013</v>
      </c>
      <c r="I90" t="s">
        <v>94</v>
      </c>
    </row>
    <row r="91" spans="1:9">
      <c r="A91" t="str">
        <f>TEXT(Table2[[#This Row],[date]],"MMMM")</f>
        <v>January</v>
      </c>
      <c r="B91" s="3">
        <v>46051</v>
      </c>
      <c r="C91" t="s">
        <v>93</v>
      </c>
      <c r="D91" t="s">
        <v>14</v>
      </c>
      <c r="E91" s="33">
        <v>552.47</v>
      </c>
      <c r="F91" s="14"/>
      <c r="G91" s="2">
        <f>SUM(G90+Table2[[#This Row],[income]]-Table2[[#This Row],[debit]])</f>
        <v>9913.2800000000007</v>
      </c>
    </row>
    <row r="92" spans="1:9">
      <c r="A92" t="str">
        <f>TEXT(Table2[[#This Row],[date]],"MMMM")</f>
        <v>January</v>
      </c>
      <c r="B92" s="3">
        <v>46051</v>
      </c>
      <c r="C92" t="s">
        <v>25</v>
      </c>
      <c r="D92" t="s">
        <v>14</v>
      </c>
      <c r="E92" s="33">
        <v>2033.53</v>
      </c>
      <c r="F92" s="14"/>
      <c r="G92" s="2">
        <f>SUM(G91+Table2[[#This Row],[income]]-Table2[[#This Row],[debit]])</f>
        <v>11946.810000000001</v>
      </c>
    </row>
    <row r="93" spans="1:9">
      <c r="A93" t="str">
        <f>TEXT(Table2[[#This Row],[date]],"MMMM")</f>
        <v>January</v>
      </c>
      <c r="B93" s="3">
        <v>46051</v>
      </c>
      <c r="C93" t="s">
        <v>65</v>
      </c>
      <c r="D93" t="s">
        <v>14</v>
      </c>
      <c r="E93" s="33">
        <v>1911.26</v>
      </c>
      <c r="F93" s="14"/>
      <c r="G93" s="2">
        <f>SUM(G92+Table2[[#This Row],[income]]-Table2[[#This Row],[debit]])</f>
        <v>13858.070000000002</v>
      </c>
    </row>
    <row r="94" spans="1:9">
      <c r="A94" t="str">
        <f>TEXT(Table2[[#This Row],[date]],"MMMM")</f>
        <v>January</v>
      </c>
      <c r="B94" s="3">
        <v>46052</v>
      </c>
      <c r="C94" t="s">
        <v>95</v>
      </c>
      <c r="D94" t="s">
        <v>26</v>
      </c>
      <c r="E94" s="33"/>
      <c r="F94" s="14">
        <v>38.54</v>
      </c>
      <c r="G94" s="2">
        <f>SUM(G93+Table2[[#This Row],[income]]-Table2[[#This Row],[debit]])</f>
        <v>13819.53</v>
      </c>
    </row>
    <row r="95" spans="1:9">
      <c r="A95" t="str">
        <f>TEXT(Table2[[#This Row],[date]],"MMMM")</f>
        <v>January</v>
      </c>
      <c r="B95" s="3">
        <v>46052</v>
      </c>
      <c r="C95" t="s">
        <v>96</v>
      </c>
      <c r="D95" t="s">
        <v>30</v>
      </c>
      <c r="E95" s="33"/>
      <c r="F95" s="14">
        <v>60.46</v>
      </c>
      <c r="G95" s="2">
        <f>SUM(G94+Table2[[#This Row],[income]]-Table2[[#This Row],[debit]])</f>
        <v>13759.070000000002</v>
      </c>
    </row>
    <row r="96" spans="1:9">
      <c r="A96" t="str">
        <f>TEXT(Table2[[#This Row],[date]],"MMMM")</f>
        <v>January</v>
      </c>
      <c r="B96" s="3">
        <v>46052</v>
      </c>
      <c r="C96" t="s">
        <v>97</v>
      </c>
      <c r="D96" t="s">
        <v>19</v>
      </c>
      <c r="E96" s="33"/>
      <c r="F96" s="14">
        <v>110.98</v>
      </c>
      <c r="G96" s="2">
        <f>SUM(G95+Table2[[#This Row],[income]]-Table2[[#This Row],[debit]])</f>
        <v>13648.090000000002</v>
      </c>
    </row>
    <row r="97" spans="1:11">
      <c r="A97" t="str">
        <f>TEXT(Table2[[#This Row],[date]],"MMMM")</f>
        <v>January</v>
      </c>
      <c r="B97" s="3">
        <v>46052</v>
      </c>
      <c r="C97" t="s">
        <v>98</v>
      </c>
      <c r="D97" t="s">
        <v>26</v>
      </c>
      <c r="E97" s="33"/>
      <c r="F97" s="14">
        <v>16.440000000000001</v>
      </c>
      <c r="G97" s="2">
        <f>SUM(G96+Table2[[#This Row],[income]]-Table2[[#This Row],[debit]])</f>
        <v>13631.650000000001</v>
      </c>
    </row>
    <row r="98" spans="1:11">
      <c r="A98" t="str">
        <f>TEXT(Table2[[#This Row],[date]],"MMMM")</f>
        <v>January</v>
      </c>
      <c r="B98" s="3">
        <v>46053</v>
      </c>
      <c r="C98" t="s">
        <v>99</v>
      </c>
      <c r="D98" t="s">
        <v>26</v>
      </c>
      <c r="E98" s="33"/>
      <c r="F98" s="14">
        <v>1.49</v>
      </c>
      <c r="G98" s="2">
        <f>SUM(G97+Table2[[#This Row],[income]]-Table2[[#This Row],[debit]])</f>
        <v>13630.160000000002</v>
      </c>
    </row>
    <row r="99" spans="1:11">
      <c r="A99" t="str">
        <f>TEXT(Table2[[#This Row],[date]],"MMMM")</f>
        <v>January</v>
      </c>
      <c r="B99" s="3">
        <v>46053</v>
      </c>
      <c r="C99" t="s">
        <v>57</v>
      </c>
      <c r="D99" t="s">
        <v>26</v>
      </c>
      <c r="E99" s="33"/>
      <c r="F99" s="14">
        <v>57.73</v>
      </c>
      <c r="G99" s="2">
        <f>SUM(G98+Table2[[#This Row],[income]]-Table2[[#This Row],[debit]])</f>
        <v>13572.430000000002</v>
      </c>
    </row>
    <row r="100" spans="1:11">
      <c r="A100" t="str">
        <f>TEXT(Table2[[#This Row],[date]],"MMMM")</f>
        <v>January</v>
      </c>
      <c r="B100" s="3">
        <v>46053</v>
      </c>
      <c r="C100" t="s">
        <v>100</v>
      </c>
      <c r="D100" t="s">
        <v>14</v>
      </c>
      <c r="E100" s="33">
        <v>0.21</v>
      </c>
      <c r="F100" s="14"/>
      <c r="G100" s="2">
        <f>SUM(G99+Table2[[#This Row],[income]]-Table2[[#This Row],[debit]])</f>
        <v>13572.640000000001</v>
      </c>
    </row>
    <row r="101" spans="1:11">
      <c r="A101" t="str">
        <f>TEXT(Table2[[#This Row],[date]],"MMMM")</f>
        <v>January</v>
      </c>
      <c r="B101" s="3">
        <v>46053</v>
      </c>
      <c r="C101" t="s">
        <v>42</v>
      </c>
      <c r="D101" t="s">
        <v>14</v>
      </c>
      <c r="E101" s="33">
        <v>187.16</v>
      </c>
      <c r="F101" s="14"/>
      <c r="G101" s="2">
        <f>SUM(G100+Table2[[#This Row],[income]]-Table2[[#This Row],[debit]])</f>
        <v>13759.800000000001</v>
      </c>
    </row>
    <row r="102" spans="1:11">
      <c r="A102" t="str">
        <f>TEXT(Table2[[#This Row],[date]],"MMMM")</f>
        <v>January</v>
      </c>
      <c r="B102" s="3">
        <v>46053</v>
      </c>
      <c r="C102" t="s">
        <v>101</v>
      </c>
      <c r="D102" t="s">
        <v>16</v>
      </c>
      <c r="E102" s="33"/>
      <c r="F102" s="14">
        <v>109.46</v>
      </c>
      <c r="G102" s="2">
        <f>SUM(G101+Table2[[#This Row],[income]]-Table2[[#This Row],[debit]])</f>
        <v>13650.340000000002</v>
      </c>
    </row>
    <row r="103" spans="1:11">
      <c r="A103" t="str">
        <f>TEXT(Table2[[#This Row],[date]],"MMMM")</f>
        <v>January</v>
      </c>
      <c r="B103" s="3">
        <v>46053</v>
      </c>
      <c r="C103" t="s">
        <v>102</v>
      </c>
      <c r="D103" t="s">
        <v>20</v>
      </c>
      <c r="E103" s="33"/>
      <c r="F103" s="14">
        <v>2100</v>
      </c>
      <c r="G103" s="2">
        <f>SUM(G102+Table2[[#This Row],[income]]-Table2[[#This Row],[debit]])</f>
        <v>11550.340000000002</v>
      </c>
    </row>
    <row r="104" spans="1:11">
      <c r="A104" t="str">
        <f>TEXT(Table2[[#This Row],[date]],"MMMM")</f>
        <v>February</v>
      </c>
      <c r="B104" s="3">
        <v>46054</v>
      </c>
      <c r="C104" t="s">
        <v>17</v>
      </c>
      <c r="D104" t="s">
        <v>17</v>
      </c>
      <c r="E104" s="33"/>
      <c r="F104" s="14">
        <v>792</v>
      </c>
      <c r="G104" s="2">
        <f>SUM(G103+Table2[[#This Row],[income]]-Table2[[#This Row],[debit]])</f>
        <v>10758.340000000002</v>
      </c>
    </row>
    <row r="105" spans="1:11">
      <c r="A105" t="str">
        <f>TEXT(Table2[[#This Row],[date]],"MMMM")</f>
        <v>February</v>
      </c>
      <c r="B105" s="3">
        <v>46054</v>
      </c>
      <c r="C105" t="s">
        <v>17</v>
      </c>
      <c r="D105" t="s">
        <v>17</v>
      </c>
      <c r="E105" s="33"/>
      <c r="F105" s="14">
        <v>258</v>
      </c>
      <c r="G105" s="2">
        <f>SUM(G104+Table2[[#This Row],[income]]-Table2[[#This Row],[debit]])</f>
        <v>10500.340000000002</v>
      </c>
    </row>
    <row r="106" spans="1:11">
      <c r="A106" t="str">
        <f>TEXT(Table2[[#This Row],[date]],"MMMM")</f>
        <v>February</v>
      </c>
      <c r="B106" s="3">
        <v>46054</v>
      </c>
      <c r="C106" t="s">
        <v>35</v>
      </c>
      <c r="D106" t="s">
        <v>24</v>
      </c>
      <c r="E106" s="33"/>
      <c r="F106" s="14">
        <v>2735.72</v>
      </c>
      <c r="G106" s="2">
        <f>SUM(G105+Table2[[#This Row],[income]]-Table2[[#This Row],[debit]])</f>
        <v>7764.6200000000026</v>
      </c>
    </row>
    <row r="107" spans="1:11">
      <c r="A107" t="str">
        <f>TEXT(Table2[[#This Row],[date]],"MMMM")</f>
        <v>February</v>
      </c>
      <c r="B107" s="3">
        <v>46054</v>
      </c>
      <c r="C107" t="s">
        <v>103</v>
      </c>
      <c r="D107" t="s">
        <v>103</v>
      </c>
      <c r="E107" s="33"/>
      <c r="F107" s="14">
        <v>6000</v>
      </c>
      <c r="G107" s="2">
        <f>SUM(G106+Table2[[#This Row],[income]]-Table2[[#This Row],[debit]])</f>
        <v>1764.6200000000026</v>
      </c>
    </row>
    <row r="108" spans="1:11">
      <c r="A108" t="str">
        <f>TEXT(Table2[[#This Row],[date]],"MMMM")</f>
        <v>February</v>
      </c>
      <c r="B108" s="3">
        <v>46054</v>
      </c>
      <c r="C108" t="s">
        <v>15</v>
      </c>
      <c r="D108" t="s">
        <v>16</v>
      </c>
      <c r="E108" s="33"/>
      <c r="F108" s="14">
        <v>100</v>
      </c>
      <c r="G108" s="2">
        <f>SUM(G107+Table2[[#This Row],[income]]-Table2[[#This Row],[debit]])</f>
        <v>1664.6200000000026</v>
      </c>
    </row>
    <row r="109" spans="1:11">
      <c r="A109" t="str">
        <f>TEXT(Table2[[#This Row],[date]],"MMMM")</f>
        <v>February</v>
      </c>
      <c r="B109" s="3">
        <v>46054</v>
      </c>
      <c r="C109" t="s">
        <v>104</v>
      </c>
      <c r="D109" t="s">
        <v>19</v>
      </c>
      <c r="E109" s="33"/>
      <c r="F109" s="14">
        <v>60.41</v>
      </c>
      <c r="G109" s="2">
        <f>SUM(G108+Table2[[#This Row],[income]]-Table2[[#This Row],[debit]])</f>
        <v>1604.2100000000025</v>
      </c>
    </row>
    <row r="110" spans="1:11">
      <c r="A110" t="str">
        <f>TEXT(Table2[[#This Row],[date]],"MMMM")</f>
        <v>February</v>
      </c>
      <c r="B110" s="3">
        <v>46054</v>
      </c>
      <c r="C110" t="s">
        <v>105</v>
      </c>
      <c r="D110" t="s">
        <v>33</v>
      </c>
      <c r="E110" s="33"/>
      <c r="F110" s="14">
        <v>52.58</v>
      </c>
      <c r="G110" s="2">
        <f>SUM(G109+Table2[[#This Row],[income]]-Table2[[#This Row],[debit]])</f>
        <v>1551.6300000000026</v>
      </c>
    </row>
    <row r="111" spans="1:11">
      <c r="A111" t="str">
        <f>TEXT(Table2[[#This Row],[date]],"MMMM")</f>
        <v>February</v>
      </c>
      <c r="B111" s="3">
        <v>46054</v>
      </c>
      <c r="C111" t="s">
        <v>106</v>
      </c>
      <c r="D111" t="s">
        <v>36</v>
      </c>
      <c r="E111" s="33"/>
      <c r="F111" s="14">
        <v>44.79</v>
      </c>
      <c r="G111" s="2">
        <f>SUM(G110+Table2[[#This Row],[income]]-Table2[[#This Row],[debit]])</f>
        <v>1506.8400000000026</v>
      </c>
    </row>
    <row r="112" spans="1:11">
      <c r="A112" t="str">
        <f>TEXT(Table2[[#This Row],[date]],"MMMM")</f>
        <v>February</v>
      </c>
      <c r="B112" s="3">
        <v>46054</v>
      </c>
      <c r="C112" s="60" t="s">
        <v>107</v>
      </c>
      <c r="D112" s="60" t="s">
        <v>36</v>
      </c>
      <c r="E112" s="33"/>
      <c r="F112" s="14">
        <v>15.29</v>
      </c>
      <c r="G112" s="32">
        <f>SUM(G111+Table2[[#This Row],[income]]-Table2[[#This Row],[debit]])</f>
        <v>1491.5500000000027</v>
      </c>
      <c r="K112" s="9"/>
    </row>
    <row r="113" spans="1:9">
      <c r="A113" t="str">
        <f>TEXT(Table2[[#This Row],[date]],"MMMM")</f>
        <v>February</v>
      </c>
      <c r="B113" s="3">
        <v>46055</v>
      </c>
      <c r="C113" t="s">
        <v>74</v>
      </c>
      <c r="D113" t="s">
        <v>33</v>
      </c>
      <c r="E113" s="33"/>
      <c r="F113" s="14">
        <v>33.72</v>
      </c>
      <c r="G113" s="2">
        <f>SUM(G112+Table2[[#This Row],[income]]-Table2[[#This Row],[debit]])</f>
        <v>1457.8300000000027</v>
      </c>
    </row>
    <row r="114" spans="1:9">
      <c r="A114" t="str">
        <f>TEXT(Table2[[#This Row],[date]],"MMMM")</f>
        <v>February</v>
      </c>
      <c r="B114" s="3">
        <v>46055</v>
      </c>
      <c r="C114" t="s">
        <v>108</v>
      </c>
      <c r="D114" t="s">
        <v>36</v>
      </c>
      <c r="E114" s="33"/>
      <c r="F114" s="14">
        <v>15.25</v>
      </c>
      <c r="G114" s="2">
        <f>SUM(G113+Table2[[#This Row],[income]]-Table2[[#This Row],[debit]])</f>
        <v>1442.5800000000027</v>
      </c>
    </row>
    <row r="115" spans="1:9">
      <c r="A115" t="str">
        <f>TEXT(Table2[[#This Row],[date]],"MMMM")</f>
        <v>February</v>
      </c>
      <c r="B115" s="3">
        <v>46055</v>
      </c>
      <c r="C115" s="59" t="s">
        <v>109</v>
      </c>
      <c r="D115" t="s">
        <v>26</v>
      </c>
      <c r="E115" s="33"/>
      <c r="F115" s="14">
        <v>10.02</v>
      </c>
      <c r="G115" s="2">
        <f>SUM(G114+Table2[[#This Row],[income]]-Table2[[#This Row],[debit]])</f>
        <v>1432.5600000000027</v>
      </c>
    </row>
    <row r="116" spans="1:9">
      <c r="A116" t="str">
        <f>TEXT(Table2[[#This Row],[date]],"MMMM")</f>
        <v>February</v>
      </c>
      <c r="B116" s="3">
        <v>46056</v>
      </c>
      <c r="C116" t="s">
        <v>110</v>
      </c>
      <c r="D116" t="s">
        <v>26</v>
      </c>
      <c r="E116" s="33"/>
      <c r="F116" s="14">
        <v>20.66</v>
      </c>
      <c r="G116" s="2">
        <f>SUM(G115+Table2[[#This Row],[income]]-Table2[[#This Row],[debit]])</f>
        <v>1411.9000000000026</v>
      </c>
    </row>
    <row r="117" spans="1:9">
      <c r="A117" t="str">
        <f>TEXT(Table2[[#This Row],[date]],"MMMM")</f>
        <v>February</v>
      </c>
      <c r="B117" s="3">
        <v>46056</v>
      </c>
      <c r="C117" t="s">
        <v>82</v>
      </c>
      <c r="D117" t="s">
        <v>33</v>
      </c>
      <c r="E117" s="33"/>
      <c r="F117" s="14">
        <v>32.71</v>
      </c>
      <c r="G117" s="2">
        <f>SUM(G116+Table2[[#This Row],[income]]-Table2[[#This Row],[debit]])</f>
        <v>1379.1900000000026</v>
      </c>
      <c r="H117" t="s">
        <v>45</v>
      </c>
      <c r="I117" s="30"/>
    </row>
    <row r="118" spans="1:9">
      <c r="A118" t="str">
        <f>TEXT(Table2[[#This Row],[date]],"MMMM")</f>
        <v>February</v>
      </c>
      <c r="B118" s="3">
        <v>46056</v>
      </c>
      <c r="C118" t="s">
        <v>34</v>
      </c>
      <c r="D118" t="s">
        <v>19</v>
      </c>
      <c r="E118" s="33"/>
      <c r="F118" s="14">
        <v>90.33</v>
      </c>
      <c r="G118" s="2">
        <f>SUM(G117+Table2[[#This Row],[income]]-Table2[[#This Row],[debit]])</f>
        <v>1288.8600000000026</v>
      </c>
    </row>
    <row r="119" spans="1:9">
      <c r="A119" t="str">
        <f>TEXT(Table2[[#This Row],[date]],"MMMM")</f>
        <v>February</v>
      </c>
      <c r="B119" s="3">
        <v>46057</v>
      </c>
      <c r="C119" t="s">
        <v>79</v>
      </c>
      <c r="D119" t="s">
        <v>36</v>
      </c>
      <c r="E119" s="33"/>
      <c r="F119" s="14">
        <v>19.149999999999999</v>
      </c>
      <c r="G119" s="2">
        <f>SUM(G118+Table2[[#This Row],[income]]-Table2[[#This Row],[debit]])</f>
        <v>1269.7100000000025</v>
      </c>
    </row>
    <row r="120" spans="1:9">
      <c r="A120" t="str">
        <f>TEXT(Table2[[#This Row],[date]],"MMMM")</f>
        <v>February</v>
      </c>
      <c r="B120" s="3">
        <v>46057</v>
      </c>
      <c r="C120" t="s">
        <v>111</v>
      </c>
      <c r="D120" t="s">
        <v>19</v>
      </c>
      <c r="E120" s="33"/>
      <c r="F120" s="14">
        <v>50</v>
      </c>
      <c r="G120" s="2">
        <f>SUM(G119+Table2[[#This Row],[income]]-Table2[[#This Row],[debit]])</f>
        <v>1219.7100000000025</v>
      </c>
    </row>
    <row r="121" spans="1:9">
      <c r="A121" t="str">
        <f>TEXT(Table2[[#This Row],[date]],"MMMM")</f>
        <v>February</v>
      </c>
      <c r="B121" s="3">
        <v>46057</v>
      </c>
      <c r="C121" t="s">
        <v>112</v>
      </c>
      <c r="D121" t="s">
        <v>26</v>
      </c>
      <c r="E121" s="33"/>
      <c r="F121" s="14">
        <v>34.19</v>
      </c>
      <c r="G121" s="2">
        <f>SUM(G120+Table2[[#This Row],[income]]-Table2[[#This Row],[debit]])</f>
        <v>1185.5200000000025</v>
      </c>
    </row>
    <row r="122" spans="1:9">
      <c r="A122" t="str">
        <f>TEXT(Table2[[#This Row],[date]],"MMMM")</f>
        <v>February</v>
      </c>
      <c r="B122" s="3">
        <v>46058</v>
      </c>
      <c r="C122" t="s">
        <v>99</v>
      </c>
      <c r="D122" t="s">
        <v>26</v>
      </c>
      <c r="E122" s="33"/>
      <c r="F122" s="14">
        <v>3.76</v>
      </c>
      <c r="G122" s="2">
        <f>SUM(G121+Table2[[#This Row],[income]]-Table2[[#This Row],[debit]])</f>
        <v>1181.7600000000025</v>
      </c>
    </row>
    <row r="123" spans="1:9">
      <c r="A123" t="str">
        <f>TEXT(Table2[[#This Row],[date]],"MMMM")</f>
        <v>February</v>
      </c>
      <c r="B123" s="3">
        <v>46058</v>
      </c>
      <c r="C123" t="s">
        <v>69</v>
      </c>
      <c r="D123" t="s">
        <v>19</v>
      </c>
      <c r="E123" s="33"/>
      <c r="F123" s="14">
        <v>25.12</v>
      </c>
      <c r="G123" s="2">
        <f>SUM(G122+Table2[[#This Row],[income]]-Table2[[#This Row],[debit]])</f>
        <v>1156.6400000000026</v>
      </c>
    </row>
    <row r="124" spans="1:9">
      <c r="A124" t="str">
        <f>TEXT(Table2[[#This Row],[date]],"MMMM")</f>
        <v>February</v>
      </c>
      <c r="B124" s="3">
        <v>46058</v>
      </c>
      <c r="C124" t="s">
        <v>113</v>
      </c>
      <c r="D124" t="s">
        <v>28</v>
      </c>
      <c r="E124" s="33"/>
      <c r="F124" s="14">
        <v>531.91</v>
      </c>
      <c r="G124" s="2">
        <f>SUM(G123+Table2[[#This Row],[income]]-Table2[[#This Row],[debit]])</f>
        <v>624.73000000000263</v>
      </c>
    </row>
    <row r="125" spans="1:9">
      <c r="A125" t="str">
        <f>TEXT(Table2[[#This Row],[date]],"MMMM")</f>
        <v>February</v>
      </c>
      <c r="B125" s="3">
        <v>46058</v>
      </c>
      <c r="C125" t="s">
        <v>114</v>
      </c>
      <c r="D125" t="s">
        <v>26</v>
      </c>
      <c r="E125" s="33"/>
      <c r="F125" s="14">
        <v>42.01</v>
      </c>
      <c r="G125" s="2">
        <f>SUM(G124+Table2[[#This Row],[income]]-Table2[[#This Row],[debit]])</f>
        <v>582.72000000000264</v>
      </c>
    </row>
    <row r="126" spans="1:9">
      <c r="A126" t="str">
        <f>TEXT(Table2[[#This Row],[date]],"MMMM")</f>
        <v>February</v>
      </c>
      <c r="B126" s="3">
        <v>46059</v>
      </c>
      <c r="C126" t="s">
        <v>115</v>
      </c>
      <c r="D126" t="s">
        <v>26</v>
      </c>
      <c r="E126" s="33"/>
      <c r="F126" s="14">
        <v>0.2</v>
      </c>
      <c r="G126" s="2">
        <f>SUM(G125+Table2[[#This Row],[income]]-Table2[[#This Row],[debit]])</f>
        <v>582.5200000000026</v>
      </c>
    </row>
    <row r="127" spans="1:9">
      <c r="A127" t="str">
        <f>TEXT(Table2[[#This Row],[date]],"MMMM")</f>
        <v>February</v>
      </c>
      <c r="B127" s="3">
        <v>46060</v>
      </c>
      <c r="C127" t="s">
        <v>85</v>
      </c>
      <c r="D127" t="s">
        <v>36</v>
      </c>
      <c r="E127" s="33"/>
      <c r="F127" s="14">
        <v>9.94</v>
      </c>
      <c r="G127" s="2">
        <f>SUM(G126+Table2[[#This Row],[income]]-Table2[[#This Row],[debit]])</f>
        <v>572.58000000000254</v>
      </c>
    </row>
    <row r="128" spans="1:9">
      <c r="A128" t="str">
        <f>TEXT(Table2[[#This Row],[date]],"MMMM")</f>
        <v>February</v>
      </c>
      <c r="B128" s="3">
        <v>46060</v>
      </c>
      <c r="C128" t="s">
        <v>31</v>
      </c>
      <c r="D128" t="s">
        <v>26</v>
      </c>
      <c r="E128" s="33"/>
      <c r="F128" s="14">
        <v>72.77</v>
      </c>
      <c r="G128" s="2">
        <f>SUM(G127+Table2[[#This Row],[income]]-Table2[[#This Row],[debit]])</f>
        <v>499.81000000000256</v>
      </c>
    </row>
    <row r="129" spans="1:7">
      <c r="A129" t="str">
        <f>TEXT(Table2[[#This Row],[date]],"MMMM")</f>
        <v>February</v>
      </c>
      <c r="B129" s="3">
        <v>46060</v>
      </c>
      <c r="C129" t="s">
        <v>116</v>
      </c>
      <c r="D129" t="s">
        <v>33</v>
      </c>
      <c r="E129" s="33"/>
      <c r="F129" s="14">
        <v>26.23</v>
      </c>
      <c r="G129" s="2">
        <f>SUM(G128+Table2[[#This Row],[income]]-Table2[[#This Row],[debit]])</f>
        <v>473.58000000000254</v>
      </c>
    </row>
    <row r="130" spans="1:7">
      <c r="A130" t="str">
        <f>TEXT(Table2[[#This Row],[date]],"MMMM")</f>
        <v>February</v>
      </c>
      <c r="B130" s="3">
        <v>46061</v>
      </c>
      <c r="C130" t="s">
        <v>117</v>
      </c>
      <c r="D130" t="s">
        <v>36</v>
      </c>
      <c r="E130" s="33"/>
      <c r="F130" s="14">
        <v>43.34</v>
      </c>
      <c r="G130" s="2">
        <f>SUM(G129+Table2[[#This Row],[income]]-Table2[[#This Row],[debit]])</f>
        <v>430.24000000000251</v>
      </c>
    </row>
    <row r="131" spans="1:7">
      <c r="A131" t="str">
        <f>TEXT(Table2[[#This Row],[date]],"MMMM")</f>
        <v>February</v>
      </c>
      <c r="B131" s="3">
        <v>46061</v>
      </c>
      <c r="C131" t="s">
        <v>52</v>
      </c>
      <c r="D131" t="s">
        <v>19</v>
      </c>
      <c r="E131" s="33"/>
      <c r="F131" s="14">
        <v>25.08</v>
      </c>
      <c r="G131" s="2">
        <f>SUM(G130+Table2[[#This Row],[income]]-Table2[[#This Row],[debit]])</f>
        <v>405.16000000000253</v>
      </c>
    </row>
    <row r="132" spans="1:7">
      <c r="A132" t="str">
        <f>TEXT(Table2[[#This Row],[date]],"MMMM")</f>
        <v>February</v>
      </c>
      <c r="B132" s="3">
        <v>46061</v>
      </c>
      <c r="C132" t="s">
        <v>72</v>
      </c>
      <c r="D132" t="s">
        <v>37</v>
      </c>
      <c r="E132" s="33"/>
      <c r="F132" s="14">
        <v>75</v>
      </c>
      <c r="G132" s="2">
        <f>SUM(G131+Table2[[#This Row],[income]]-Table2[[#This Row],[debit]])</f>
        <v>330.16000000000253</v>
      </c>
    </row>
    <row r="133" spans="1:7">
      <c r="A133" t="str">
        <f>TEXT(Table2[[#This Row],[date]],"MMMM")</f>
        <v>February</v>
      </c>
      <c r="B133" s="3">
        <v>46062</v>
      </c>
      <c r="C133" t="s">
        <v>118</v>
      </c>
      <c r="D133" t="s">
        <v>19</v>
      </c>
      <c r="E133" s="33"/>
      <c r="F133" s="14">
        <v>99.66</v>
      </c>
      <c r="G133" s="2">
        <f>SUM(G132+Table2[[#This Row],[income]]-Table2[[#This Row],[debit]])</f>
        <v>230.50000000000253</v>
      </c>
    </row>
    <row r="134" spans="1:7">
      <c r="A134" t="str">
        <f>TEXT(Table2[[#This Row],[date]],"MMMM")</f>
        <v>February</v>
      </c>
      <c r="B134" s="3">
        <v>46062</v>
      </c>
      <c r="C134" t="s">
        <v>119</v>
      </c>
      <c r="D134" t="s">
        <v>36</v>
      </c>
      <c r="E134" s="33"/>
      <c r="F134" s="14">
        <v>59.27</v>
      </c>
      <c r="G134" s="2">
        <f>SUM(G133+Table2[[#This Row],[income]]-Table2[[#This Row],[debit]])</f>
        <v>171.23000000000252</v>
      </c>
    </row>
    <row r="135" spans="1:7">
      <c r="A135" t="str">
        <f>TEXT(Table2[[#This Row],[date]],"MMMM")</f>
        <v>February</v>
      </c>
      <c r="B135" s="3">
        <v>46062</v>
      </c>
      <c r="C135" t="s">
        <v>120</v>
      </c>
      <c r="D135" t="s">
        <v>36</v>
      </c>
      <c r="E135" s="33"/>
      <c r="F135" s="14">
        <v>13.38</v>
      </c>
      <c r="G135" s="2">
        <f>SUM(G134+Table2[[#This Row],[income]]-Table2[[#This Row],[debit]])</f>
        <v>157.85000000000252</v>
      </c>
    </row>
    <row r="136" spans="1:7">
      <c r="A136" t="str">
        <f>TEXT(Table2[[#This Row],[date]],"MMMM")</f>
        <v>February</v>
      </c>
      <c r="B136" s="3">
        <v>46063</v>
      </c>
      <c r="C136" t="s">
        <v>99</v>
      </c>
      <c r="D136" t="s">
        <v>26</v>
      </c>
      <c r="E136" s="33"/>
      <c r="F136" s="14">
        <v>3.76</v>
      </c>
      <c r="G136" s="2">
        <f>SUM(G135+Table2[[#This Row],[income]]-Table2[[#This Row],[debit]])</f>
        <v>154.09000000000253</v>
      </c>
    </row>
    <row r="137" spans="1:7">
      <c r="A137" t="str">
        <f>TEXT(Table2[[#This Row],[date]],"MMMM")</f>
        <v>February</v>
      </c>
      <c r="B137" s="3">
        <v>46063</v>
      </c>
      <c r="C137" t="s">
        <v>32</v>
      </c>
      <c r="D137" t="s">
        <v>26</v>
      </c>
      <c r="E137" s="33"/>
      <c r="F137" s="14">
        <v>49.17</v>
      </c>
      <c r="G137" s="2">
        <f>SUM(G136+Table2[[#This Row],[income]]-Table2[[#This Row],[debit]])</f>
        <v>104.92000000000253</v>
      </c>
    </row>
    <row r="138" spans="1:7">
      <c r="A138" t="str">
        <f>TEXT(Table2[[#This Row],[date]],"MMMM")</f>
        <v>February</v>
      </c>
      <c r="B138" s="3">
        <v>46063</v>
      </c>
      <c r="C138" t="s">
        <v>121</v>
      </c>
      <c r="D138" t="s">
        <v>26</v>
      </c>
      <c r="E138" s="33"/>
      <c r="F138" s="14">
        <v>7.05</v>
      </c>
      <c r="G138" s="2">
        <f>SUM(G137+Table2[[#This Row],[income]]-Table2[[#This Row],[debit]])</f>
        <v>97.870000000002534</v>
      </c>
    </row>
    <row r="139" spans="1:7">
      <c r="A139" t="str">
        <f>TEXT(Table2[[#This Row],[date]],"MMMM")</f>
        <v>February</v>
      </c>
      <c r="B139" s="3">
        <v>46064</v>
      </c>
      <c r="C139" t="s">
        <v>61</v>
      </c>
      <c r="D139" t="s">
        <v>16</v>
      </c>
      <c r="E139" s="33"/>
      <c r="F139" s="14">
        <v>44.08</v>
      </c>
      <c r="G139" s="2">
        <f>SUM(G138+Table2[[#This Row],[income]]-Table2[[#This Row],[debit]])</f>
        <v>53.790000000002536</v>
      </c>
    </row>
    <row r="140" spans="1:7">
      <c r="A140" t="str">
        <f>TEXT(Table2[[#This Row],[date]],"MMMM")</f>
        <v>February</v>
      </c>
      <c r="B140" s="3">
        <v>46065</v>
      </c>
      <c r="C140" t="s">
        <v>25</v>
      </c>
      <c r="D140" t="s">
        <v>14</v>
      </c>
      <c r="E140" s="33">
        <v>2033</v>
      </c>
      <c r="F140" s="14"/>
      <c r="G140" s="2">
        <f>SUM(G139+Table2[[#This Row],[income]]-Table2[[#This Row],[debit]])</f>
        <v>2086.7900000000027</v>
      </c>
    </row>
    <row r="141" spans="1:7">
      <c r="A141" t="str">
        <f>TEXT(Table2[[#This Row],[date]],"MMMM")</f>
        <v>February</v>
      </c>
      <c r="B141" s="3">
        <v>46065</v>
      </c>
      <c r="C141" t="s">
        <v>99</v>
      </c>
      <c r="D141" t="s">
        <v>26</v>
      </c>
      <c r="E141" s="33"/>
      <c r="F141" s="14">
        <v>3.76</v>
      </c>
      <c r="G141" s="2">
        <f>SUM(G140+Table2[[#This Row],[income]]-Table2[[#This Row],[debit]])</f>
        <v>2083.0300000000025</v>
      </c>
    </row>
    <row r="142" spans="1:7">
      <c r="A142" t="str">
        <f>TEXT(Table2[[#This Row],[date]],"MMMM")</f>
        <v>February</v>
      </c>
      <c r="B142" s="3">
        <v>46065</v>
      </c>
      <c r="C142" t="s">
        <v>116</v>
      </c>
      <c r="D142" t="s">
        <v>26</v>
      </c>
      <c r="E142" s="33"/>
      <c r="F142" s="14">
        <v>5.41</v>
      </c>
      <c r="G142" s="2">
        <f>SUM(G141+Table2[[#This Row],[income]]-Table2[[#This Row],[debit]])</f>
        <v>2077.6200000000026</v>
      </c>
    </row>
    <row r="143" spans="1:7">
      <c r="A143" t="str">
        <f>TEXT(Table2[[#This Row],[date]],"MMMM")</f>
        <v>February</v>
      </c>
      <c r="B143" s="3">
        <v>46065</v>
      </c>
      <c r="C143" t="s">
        <v>122</v>
      </c>
      <c r="D143" t="s">
        <v>26</v>
      </c>
      <c r="E143" s="33"/>
      <c r="F143" s="14">
        <v>160.81</v>
      </c>
      <c r="G143" s="2">
        <f>SUM(G142+Table2[[#This Row],[income]]-Table2[[#This Row],[debit]])</f>
        <v>1916.8100000000027</v>
      </c>
    </row>
    <row r="144" spans="1:7">
      <c r="A144" t="str">
        <f>TEXT(Table2[[#This Row],[date]],"MMMM")</f>
        <v>February</v>
      </c>
      <c r="B144" s="3">
        <v>46065</v>
      </c>
      <c r="C144" t="s">
        <v>123</v>
      </c>
      <c r="D144" t="s">
        <v>19</v>
      </c>
      <c r="E144" s="33"/>
      <c r="F144" s="14">
        <v>123.05</v>
      </c>
      <c r="G144" s="2">
        <f>SUM(G143+Table2[[#This Row],[income]]-Table2[[#This Row],[debit]])</f>
        <v>1793.7600000000027</v>
      </c>
    </row>
    <row r="145" spans="1:11">
      <c r="A145" t="str">
        <f>TEXT(Table2[[#This Row],[date]],"MMMM")</f>
        <v>February</v>
      </c>
      <c r="B145" s="3">
        <v>46066</v>
      </c>
      <c r="C145" t="s">
        <v>114</v>
      </c>
      <c r="D145" t="s">
        <v>26</v>
      </c>
      <c r="E145" s="33"/>
      <c r="F145" s="14">
        <v>45.21</v>
      </c>
      <c r="G145" s="2">
        <f>SUM(G144+Table2[[#This Row],[income]]-Table2[[#This Row],[debit]])</f>
        <v>1748.5500000000027</v>
      </c>
    </row>
    <row r="146" spans="1:11">
      <c r="A146" t="str">
        <f>TEXT(Table2[[#This Row],[date]],"MMMM")</f>
        <v>February</v>
      </c>
      <c r="B146" s="3">
        <v>46066</v>
      </c>
      <c r="C146" t="s">
        <v>32</v>
      </c>
      <c r="D146" t="s">
        <v>26</v>
      </c>
      <c r="E146" s="33"/>
      <c r="F146" s="14">
        <v>52.73</v>
      </c>
      <c r="G146" s="2">
        <f>SUM(G145+Table2[[#This Row],[income]]-Table2[[#This Row],[debit]])</f>
        <v>1695.8200000000027</v>
      </c>
    </row>
    <row r="147" spans="1:11">
      <c r="A147" t="str">
        <f>TEXT(Table2[[#This Row],[date]],"MMMM")</f>
        <v>February</v>
      </c>
      <c r="B147" s="3">
        <v>46067</v>
      </c>
      <c r="C147" t="s">
        <v>124</v>
      </c>
      <c r="D147" t="s">
        <v>26</v>
      </c>
      <c r="E147" s="33"/>
      <c r="F147" s="14">
        <v>15.9</v>
      </c>
      <c r="G147" s="2">
        <f>SUM(G146+Table2[[#This Row],[income]]-Table2[[#This Row],[debit]])</f>
        <v>1679.9200000000026</v>
      </c>
    </row>
    <row r="148" spans="1:11">
      <c r="A148" t="str">
        <f>TEXT(Table2[[#This Row],[date]],"MMMM")</f>
        <v>February</v>
      </c>
      <c r="B148" s="3">
        <v>46067</v>
      </c>
      <c r="C148" t="s">
        <v>125</v>
      </c>
      <c r="D148" t="s">
        <v>16</v>
      </c>
      <c r="E148" s="33"/>
      <c r="F148" s="14">
        <v>1.99</v>
      </c>
      <c r="G148" s="2">
        <f>SUM(G147+Table2[[#This Row],[income]]-Table2[[#This Row],[debit]])</f>
        <v>1677.9300000000026</v>
      </c>
      <c r="H148" t="s">
        <v>45</v>
      </c>
    </row>
    <row r="149" spans="1:11">
      <c r="A149" t="str">
        <f>TEXT(Table2[[#This Row],[date]],"MMMM")</f>
        <v>February</v>
      </c>
      <c r="B149" s="3">
        <v>46065</v>
      </c>
      <c r="C149" t="s">
        <v>65</v>
      </c>
      <c r="D149" t="s">
        <v>14</v>
      </c>
      <c r="E149" s="33">
        <v>1911.27</v>
      </c>
      <c r="F149" s="14"/>
      <c r="G149" s="2">
        <f>SUM(G148+Table2[[#This Row],[income]]-Table2[[#This Row],[debit]])</f>
        <v>3589.2000000000025</v>
      </c>
      <c r="K149" s="9"/>
    </row>
    <row r="150" spans="1:11">
      <c r="A150" t="str">
        <f>TEXT(Table2[[#This Row],[date]],"MMMM")</f>
        <v>February</v>
      </c>
      <c r="B150" s="3">
        <v>46067</v>
      </c>
      <c r="C150" t="s">
        <v>126</v>
      </c>
      <c r="D150" t="s">
        <v>36</v>
      </c>
      <c r="E150" s="33"/>
      <c r="F150" s="14">
        <v>50</v>
      </c>
      <c r="G150" s="2">
        <f>SUM(G149+Table2[[#This Row],[income]]-Table2[[#This Row],[debit]])</f>
        <v>3539.2000000000025</v>
      </c>
    </row>
    <row r="151" spans="1:11">
      <c r="A151" t="str">
        <f>TEXT(Table2[[#This Row],[date]],"MMMM")</f>
        <v>February</v>
      </c>
      <c r="B151" s="3">
        <v>46067</v>
      </c>
      <c r="C151" t="s">
        <v>127</v>
      </c>
      <c r="D151" t="s">
        <v>36</v>
      </c>
      <c r="E151" s="33"/>
      <c r="F151" s="14">
        <v>6.77</v>
      </c>
      <c r="G151" s="2">
        <f>SUM(G150+Table2[[#This Row],[income]]-Table2[[#This Row],[debit]])</f>
        <v>3532.4300000000026</v>
      </c>
    </row>
    <row r="152" spans="1:11">
      <c r="A152" t="str">
        <f>TEXT(Table2[[#This Row],[date]],"MMMM")</f>
        <v>February</v>
      </c>
      <c r="B152" s="3">
        <v>46068</v>
      </c>
      <c r="C152" t="s">
        <v>99</v>
      </c>
      <c r="D152" t="s">
        <v>26</v>
      </c>
      <c r="E152" s="33"/>
      <c r="F152" s="14">
        <v>11.55</v>
      </c>
      <c r="G152" s="2">
        <f>SUM(G151+Table2[[#This Row],[income]]-Table2[[#This Row],[debit]])</f>
        <v>3520.8800000000024</v>
      </c>
    </row>
    <row r="153" spans="1:11">
      <c r="A153" t="str">
        <f>TEXT(Table2[[#This Row],[date]],"MMMM")</f>
        <v>February</v>
      </c>
      <c r="B153" s="3">
        <v>46068</v>
      </c>
      <c r="C153" t="s">
        <v>55</v>
      </c>
      <c r="D153" t="s">
        <v>30</v>
      </c>
      <c r="E153" s="33"/>
      <c r="F153" s="14">
        <v>81.459999999999994</v>
      </c>
      <c r="G153" s="2">
        <f>SUM(G152+Table2[[#This Row],[income]]-Table2[[#This Row],[debit]])</f>
        <v>3439.4200000000023</v>
      </c>
    </row>
    <row r="154" spans="1:11">
      <c r="A154" t="str">
        <f>TEXT(Table2[[#This Row],[date]],"MMMM")</f>
        <v>February</v>
      </c>
      <c r="B154" s="3">
        <v>46068</v>
      </c>
      <c r="C154" t="s">
        <v>128</v>
      </c>
      <c r="D154" t="s">
        <v>33</v>
      </c>
      <c r="E154" s="33"/>
      <c r="F154" s="14">
        <v>47</v>
      </c>
      <c r="G154" s="2">
        <f>SUM(G153+Table2[[#This Row],[income]]-Table2[[#This Row],[debit]])</f>
        <v>3392.4200000000023</v>
      </c>
      <c r="I154">
        <v>12</v>
      </c>
    </row>
    <row r="155" spans="1:11">
      <c r="A155" t="str">
        <f>TEXT(Table2[[#This Row],[date]],"MMMM")</f>
        <v>February</v>
      </c>
      <c r="B155" s="3">
        <v>46068</v>
      </c>
      <c r="C155" t="s">
        <v>116</v>
      </c>
      <c r="D155" t="s">
        <v>26</v>
      </c>
      <c r="E155" s="33"/>
      <c r="F155" s="14">
        <v>61.64</v>
      </c>
      <c r="G155" s="2">
        <f>SUM(G154+Table2[[#This Row],[income]]-Table2[[#This Row],[debit]])</f>
        <v>3330.7800000000025</v>
      </c>
    </row>
    <row r="156" spans="1:11">
      <c r="A156" t="str">
        <f>TEXT(Table2[[#This Row],[date]],"MMMM")</f>
        <v>February</v>
      </c>
      <c r="B156" s="3">
        <v>46068</v>
      </c>
      <c r="C156" t="s">
        <v>121</v>
      </c>
      <c r="D156" t="s">
        <v>26</v>
      </c>
      <c r="E156" s="33"/>
      <c r="F156" s="14">
        <v>6.95</v>
      </c>
      <c r="G156" s="2">
        <f>SUM(G155+Table2[[#This Row],[income]]-Table2[[#This Row],[debit]])</f>
        <v>3323.8300000000027</v>
      </c>
    </row>
    <row r="157" spans="1:11">
      <c r="A157" t="str">
        <f>TEXT(Table2[[#This Row],[date]],"MMMM")</f>
        <v>February</v>
      </c>
      <c r="B157" s="3">
        <v>46068</v>
      </c>
      <c r="C157" t="s">
        <v>129</v>
      </c>
      <c r="D157" t="s">
        <v>36</v>
      </c>
      <c r="E157" s="33"/>
      <c r="F157" s="14">
        <v>20.12</v>
      </c>
      <c r="G157" s="2">
        <f>SUM(G156+Table2[[#This Row],[income]]-Table2[[#This Row],[debit]])</f>
        <v>3303.7100000000028</v>
      </c>
    </row>
    <row r="158" spans="1:11">
      <c r="A158" t="str">
        <f>TEXT(Table2[[#This Row],[date]],"MMMM")</f>
        <v>February</v>
      </c>
      <c r="B158" s="3">
        <v>46068</v>
      </c>
      <c r="C158" t="s">
        <v>130</v>
      </c>
      <c r="D158" t="s">
        <v>19</v>
      </c>
      <c r="E158" s="33"/>
      <c r="F158" s="14">
        <v>81.790000000000006</v>
      </c>
      <c r="G158" s="2">
        <f>SUM(G157+Table2[[#This Row],[income]]-Table2[[#This Row],[debit]])</f>
        <v>3221.9200000000028</v>
      </c>
    </row>
    <row r="159" spans="1:11">
      <c r="A159" t="str">
        <f>TEXT(Table2[[#This Row],[date]],"MMMM")</f>
        <v>February</v>
      </c>
      <c r="B159" s="3">
        <v>46068</v>
      </c>
      <c r="C159" t="s">
        <v>69</v>
      </c>
      <c r="D159" t="s">
        <v>19</v>
      </c>
      <c r="E159" s="33"/>
      <c r="F159" s="14">
        <v>27.26</v>
      </c>
      <c r="G159" s="2">
        <f>SUM(G158+Table2[[#This Row],[income]]-Table2[[#This Row],[debit]])</f>
        <v>3194.6600000000026</v>
      </c>
    </row>
    <row r="160" spans="1:11">
      <c r="A160" t="str">
        <f>TEXT(Table2[[#This Row],[date]],"MMMM")</f>
        <v>February</v>
      </c>
      <c r="B160" s="3">
        <v>46069</v>
      </c>
      <c r="C160" t="s">
        <v>31</v>
      </c>
      <c r="D160" t="s">
        <v>26</v>
      </c>
      <c r="E160" s="33"/>
      <c r="F160" s="14">
        <v>100.78</v>
      </c>
      <c r="G160" s="2">
        <f>SUM(G159+Table2[[#This Row],[income]]-Table2[[#This Row],[debit]])</f>
        <v>3093.8800000000024</v>
      </c>
    </row>
    <row r="161" spans="1:9">
      <c r="A161" t="str">
        <f>TEXT(Table2[[#This Row],[date]],"MMMM")</f>
        <v>February</v>
      </c>
      <c r="B161" s="3">
        <v>46069</v>
      </c>
      <c r="C161" t="s">
        <v>32</v>
      </c>
      <c r="D161" t="s">
        <v>26</v>
      </c>
      <c r="E161" s="33"/>
      <c r="F161" s="14">
        <v>18.91</v>
      </c>
      <c r="G161" s="2">
        <f>SUM(G160+Table2[[#This Row],[income]]-Table2[[#This Row],[debit]])</f>
        <v>3074.9700000000025</v>
      </c>
    </row>
    <row r="162" spans="1:9">
      <c r="A162" t="str">
        <f>TEXT(Table2[[#This Row],[date]],"MMMM")</f>
        <v>February</v>
      </c>
      <c r="B162" s="3">
        <v>46069</v>
      </c>
      <c r="C162" t="s">
        <v>131</v>
      </c>
      <c r="D162" t="s">
        <v>36</v>
      </c>
      <c r="E162" s="33"/>
      <c r="F162" s="14">
        <v>46.58</v>
      </c>
      <c r="G162" s="2">
        <f>SUM(G161+Table2[[#This Row],[income]]-Table2[[#This Row],[debit]])</f>
        <v>3028.3900000000026</v>
      </c>
    </row>
    <row r="163" spans="1:9">
      <c r="A163" t="str">
        <f>TEXT(Table2[[#This Row],[date]],"MMMM")</f>
        <v>February</v>
      </c>
      <c r="B163" s="3">
        <v>46069</v>
      </c>
      <c r="C163" t="s">
        <v>132</v>
      </c>
      <c r="D163" t="s">
        <v>33</v>
      </c>
      <c r="E163" s="33"/>
      <c r="F163" s="14">
        <v>98.75</v>
      </c>
      <c r="G163" s="2">
        <f>SUM(G162+Table2[[#This Row],[income]]-Table2[[#This Row],[debit]])</f>
        <v>2929.6400000000026</v>
      </c>
    </row>
    <row r="164" spans="1:9">
      <c r="A164" t="str">
        <f>TEXT(Table2[[#This Row],[date]],"MMMM")</f>
        <v>February</v>
      </c>
      <c r="B164" s="3">
        <v>46070</v>
      </c>
      <c r="C164" t="s">
        <v>133</v>
      </c>
      <c r="D164" t="s">
        <v>33</v>
      </c>
      <c r="E164" s="33"/>
      <c r="F164" s="14">
        <v>263</v>
      </c>
      <c r="G164" s="2">
        <f>SUM(G163+Table2[[#This Row],[income]]-Table2[[#This Row],[debit]])</f>
        <v>2666.6400000000026</v>
      </c>
    </row>
    <row r="165" spans="1:9">
      <c r="A165" t="str">
        <f>TEXT(Table2[[#This Row],[date]],"MMMM")</f>
        <v>February</v>
      </c>
      <c r="B165" s="3">
        <v>46070</v>
      </c>
      <c r="C165" t="s">
        <v>82</v>
      </c>
      <c r="E165" s="33"/>
      <c r="F165" s="14"/>
      <c r="G165" s="2">
        <f>SUM(G164+Table2[[#This Row],[income]]-Table2[[#This Row],[debit]])</f>
        <v>2666.6400000000026</v>
      </c>
      <c r="H165" t="s">
        <v>134</v>
      </c>
      <c r="I165">
        <v>32.71</v>
      </c>
    </row>
    <row r="166" spans="1:9">
      <c r="A166" t="str">
        <f>TEXT(Table2[[#This Row],[date]],"MMMM")</f>
        <v>February</v>
      </c>
      <c r="B166" s="3">
        <v>46071</v>
      </c>
      <c r="C166" t="s">
        <v>42</v>
      </c>
      <c r="D166" t="s">
        <v>14</v>
      </c>
      <c r="E166" s="33">
        <v>100</v>
      </c>
      <c r="F166" s="14"/>
      <c r="G166" s="2">
        <f>SUM(G165+Table2[[#This Row],[income]]-Table2[[#This Row],[debit]])</f>
        <v>2766.6400000000026</v>
      </c>
      <c r="I166" t="s">
        <v>135</v>
      </c>
    </row>
    <row r="167" spans="1:9">
      <c r="A167" t="str">
        <f>TEXT(Table2[[#This Row],[date]],"MMMM")</f>
        <v>February</v>
      </c>
      <c r="B167" s="3">
        <v>46071</v>
      </c>
      <c r="C167" t="s">
        <v>99</v>
      </c>
      <c r="D167" t="s">
        <v>26</v>
      </c>
      <c r="E167" s="33"/>
      <c r="F167" s="14">
        <v>5.64</v>
      </c>
      <c r="G167" s="2">
        <f>SUM(G166+Table2[[#This Row],[income]]-Table2[[#This Row],[debit]])</f>
        <v>2761.0000000000027</v>
      </c>
    </row>
    <row r="168" spans="1:9">
      <c r="A168" t="str">
        <f>TEXT(Table2[[#This Row],[date]],"MMMM")</f>
        <v>February</v>
      </c>
      <c r="B168" s="3">
        <v>46071</v>
      </c>
      <c r="C168" t="s">
        <v>42</v>
      </c>
      <c r="D168" t="s">
        <v>14</v>
      </c>
      <c r="E168" s="33">
        <v>40</v>
      </c>
      <c r="F168" s="14"/>
      <c r="G168" s="2">
        <f>SUM(G167+Table2[[#This Row],[income]]-Table2[[#This Row],[debit]])</f>
        <v>2801.0000000000027</v>
      </c>
      <c r="I168" t="s">
        <v>136</v>
      </c>
    </row>
    <row r="169" spans="1:9">
      <c r="A169" t="str">
        <f>TEXT(Table2[[#This Row],[date]],"MMMM")</f>
        <v>February</v>
      </c>
      <c r="B169" s="3">
        <v>46071</v>
      </c>
      <c r="C169" t="s">
        <v>137</v>
      </c>
      <c r="D169" t="s">
        <v>36</v>
      </c>
      <c r="E169" s="33"/>
      <c r="F169" s="14">
        <v>27.96</v>
      </c>
      <c r="G169" s="2">
        <f>SUM(G168+Table2[[#This Row],[income]]-Table2[[#This Row],[debit]])</f>
        <v>2773.0400000000027</v>
      </c>
    </row>
    <row r="170" spans="1:9">
      <c r="A170" t="str">
        <f>TEXT(Table2[[#This Row],[date]],"MMMM")</f>
        <v>February</v>
      </c>
      <c r="B170" s="3">
        <v>46072</v>
      </c>
      <c r="C170" t="s">
        <v>138</v>
      </c>
      <c r="D170" t="s">
        <v>36</v>
      </c>
      <c r="E170" s="33"/>
      <c r="F170" s="14">
        <v>42.98</v>
      </c>
      <c r="G170" s="2">
        <f>SUM(G169+Table2[[#This Row],[income]]-Table2[[#This Row],[debit]])</f>
        <v>2730.0600000000027</v>
      </c>
    </row>
    <row r="171" spans="1:9">
      <c r="A171" t="str">
        <f>TEXT(Table2[[#This Row],[date]],"MMMM")</f>
        <v>February</v>
      </c>
      <c r="B171" s="3">
        <v>46073</v>
      </c>
      <c r="C171" t="s">
        <v>139</v>
      </c>
      <c r="D171" t="s">
        <v>36</v>
      </c>
      <c r="E171" s="33"/>
      <c r="F171" s="14">
        <v>8.6199999999999992</v>
      </c>
      <c r="G171" s="2">
        <f>SUM(G170+Table2[[#This Row],[income]]-Table2[[#This Row],[debit]])</f>
        <v>2721.4400000000028</v>
      </c>
    </row>
    <row r="172" spans="1:9">
      <c r="A172" t="str">
        <f>TEXT(Table2[[#This Row],[date]],"MMMM")</f>
        <v>February</v>
      </c>
      <c r="B172" s="3">
        <v>46073</v>
      </c>
      <c r="C172" t="s">
        <v>114</v>
      </c>
      <c r="D172" t="s">
        <v>26</v>
      </c>
      <c r="E172" s="33"/>
      <c r="F172" s="14">
        <v>2.5499999999999998</v>
      </c>
      <c r="G172" s="2">
        <f>SUM(G171+Table2[[#This Row],[income]]-Table2[[#This Row],[debit]])</f>
        <v>2718.8900000000026</v>
      </c>
    </row>
    <row r="173" spans="1:9">
      <c r="A173" t="str">
        <f>TEXT(Table2[[#This Row],[date]],"MMMM")</f>
        <v>February</v>
      </c>
      <c r="B173" s="3">
        <v>46074</v>
      </c>
      <c r="C173" t="s">
        <v>99</v>
      </c>
      <c r="D173" t="s">
        <v>26</v>
      </c>
      <c r="E173" s="33"/>
      <c r="F173" s="14">
        <v>5.73</v>
      </c>
      <c r="G173" s="2">
        <f>SUM(G172+Table2[[#This Row],[income]]-Table2[[#This Row],[debit]])</f>
        <v>2713.1600000000026</v>
      </c>
    </row>
    <row r="174" spans="1:9">
      <c r="A174" t="str">
        <f>TEXT(Table2[[#This Row],[date]],"MMMM")</f>
        <v>February</v>
      </c>
      <c r="B174" s="3">
        <v>46074</v>
      </c>
      <c r="C174" t="s">
        <v>140</v>
      </c>
      <c r="D174" t="s">
        <v>26</v>
      </c>
      <c r="E174" s="33"/>
      <c r="F174" s="14">
        <v>71.28</v>
      </c>
      <c r="G174" s="2">
        <f>SUM(G173+Table2[[#This Row],[income]]-Table2[[#This Row],[debit]])</f>
        <v>2641.8800000000024</v>
      </c>
    </row>
    <row r="175" spans="1:9">
      <c r="A175" t="str">
        <f>TEXT(Table2[[#This Row],[date]],"MMMM")</f>
        <v>February</v>
      </c>
      <c r="B175" s="3">
        <v>46074</v>
      </c>
      <c r="C175" t="s">
        <v>99</v>
      </c>
      <c r="D175" t="s">
        <v>26</v>
      </c>
      <c r="E175" s="33"/>
      <c r="F175" s="14">
        <v>3.2</v>
      </c>
      <c r="G175" s="2">
        <f>SUM(G174+Table2[[#This Row],[income]]-Table2[[#This Row],[debit]])</f>
        <v>2638.6800000000026</v>
      </c>
    </row>
    <row r="176" spans="1:9">
      <c r="A176" t="str">
        <f>TEXT(Table2[[#This Row],[date]],"MMMM")</f>
        <v>February</v>
      </c>
      <c r="B176" s="3">
        <v>46074</v>
      </c>
      <c r="C176" t="s">
        <v>141</v>
      </c>
      <c r="D176" t="s">
        <v>26</v>
      </c>
      <c r="E176" s="33"/>
      <c r="F176" s="14">
        <v>22.11</v>
      </c>
      <c r="G176" s="2">
        <f>SUM(G175+Table2[[#This Row],[income]]-Table2[[#This Row],[debit]])</f>
        <v>2616.5700000000024</v>
      </c>
    </row>
    <row r="177" spans="1:7">
      <c r="A177" t="str">
        <f>TEXT(Table2[[#This Row],[date]],"MMMM")</f>
        <v>January</v>
      </c>
      <c r="G177" s="2">
        <f>SUM(G176+Table2[[#This Row],[income]]-Table2[[#This Row],[debit]])</f>
        <v>2616.5700000000024</v>
      </c>
    </row>
    <row r="178" spans="1:7">
      <c r="A178" t="str">
        <f>TEXT(Table2[[#This Row],[date]],"MMMM")</f>
        <v>January</v>
      </c>
      <c r="G178" s="2">
        <f>SUM(G177+Table2[[#This Row],[income]]-Table2[[#This Row],[debit]])</f>
        <v>2616.5700000000024</v>
      </c>
    </row>
    <row r="179" spans="1:7">
      <c r="A179" t="str">
        <f>TEXT(Table2[[#This Row],[date]],"MMMM")</f>
        <v>January</v>
      </c>
      <c r="G179" s="2">
        <f>SUM(G178+Table2[[#This Row],[income]]-Table2[[#This Row],[debit]])</f>
        <v>2616.5700000000024</v>
      </c>
    </row>
    <row r="180" spans="1:7">
      <c r="A180" t="str">
        <f>TEXT(Table2[[#This Row],[date]],"MMMM")</f>
        <v>January</v>
      </c>
      <c r="G180" s="2">
        <f>SUM(G179+Table2[[#This Row],[income]]-Table2[[#This Row],[debit]])</f>
        <v>2616.5700000000024</v>
      </c>
    </row>
    <row r="181" spans="1:7">
      <c r="A181" t="str">
        <f>TEXT(Table2[[#This Row],[date]],"MMMM")</f>
        <v>January</v>
      </c>
      <c r="G181" s="2">
        <f>SUM(G180+Table2[[#This Row],[income]]-Table2[[#This Row],[debit]])</f>
        <v>2616.5700000000024</v>
      </c>
    </row>
    <row r="182" spans="1:7">
      <c r="A182" t="str">
        <f>TEXT(Table2[[#This Row],[date]],"MMMM")</f>
        <v>January</v>
      </c>
      <c r="G182" s="2">
        <f>SUM(G181+Table2[[#This Row],[income]]-Table2[[#This Row],[debit]])</f>
        <v>2616.5700000000024</v>
      </c>
    </row>
    <row r="183" spans="1:7">
      <c r="A183" t="str">
        <f>TEXT(Table2[[#This Row],[date]],"MMMM")</f>
        <v>January</v>
      </c>
      <c r="G183" s="2">
        <f>SUM(G182+Table2[[#This Row],[income]]-Table2[[#This Row],[debit]])</f>
        <v>2616.5700000000024</v>
      </c>
    </row>
    <row r="184" spans="1:7">
      <c r="A184" t="str">
        <f>TEXT(Table2[[#This Row],[date]],"MMMM")</f>
        <v>January</v>
      </c>
      <c r="G184" s="2">
        <f>SUM(G183+Table2[[#This Row],[income]]-Table2[[#This Row],[debit]])</f>
        <v>2616.5700000000024</v>
      </c>
    </row>
    <row r="185" spans="1:7">
      <c r="A185" t="str">
        <f>TEXT(Table2[[#This Row],[date]],"MMMM")</f>
        <v>January</v>
      </c>
      <c r="G185" s="2">
        <f>SUM(G184+Table2[[#This Row],[income]]-Table2[[#This Row],[debit]])</f>
        <v>2616.5700000000024</v>
      </c>
    </row>
    <row r="186" spans="1:7">
      <c r="A186" t="str">
        <f>TEXT(Table2[[#This Row],[date]],"MMMM")</f>
        <v>January</v>
      </c>
      <c r="G186" s="2">
        <f>SUM(G185+Table2[[#This Row],[income]]-Table2[[#This Row],[debit]])</f>
        <v>2616.5700000000024</v>
      </c>
    </row>
    <row r="187" spans="1:7">
      <c r="A187" t="str">
        <f>TEXT(Table2[[#This Row],[date]],"MMMM")</f>
        <v>January</v>
      </c>
      <c r="G187" s="2">
        <f>SUM(G186+Table2[[#This Row],[income]]-Table2[[#This Row],[debit]])</f>
        <v>2616.5700000000024</v>
      </c>
    </row>
    <row r="188" spans="1:7">
      <c r="A188" t="str">
        <f>TEXT(Table2[[#This Row],[date]],"MMMM")</f>
        <v>January</v>
      </c>
      <c r="G188" s="2">
        <f>SUM(G187+Table2[[#This Row],[income]]-Table2[[#This Row],[debit]])</f>
        <v>2616.5700000000024</v>
      </c>
    </row>
    <row r="189" spans="1:7">
      <c r="A189" t="str">
        <f>TEXT(Table2[[#This Row],[date]],"MMMM")</f>
        <v>January</v>
      </c>
      <c r="G189" s="2">
        <f>SUM(G188+Table2[[#This Row],[income]]-Table2[[#This Row],[debit]])</f>
        <v>2616.5700000000024</v>
      </c>
    </row>
    <row r="190" spans="1:7">
      <c r="A190" t="str">
        <f>TEXT(Table2[[#This Row],[date]],"MMMM")</f>
        <v>January</v>
      </c>
      <c r="G190" s="2">
        <f>SUM(G189+Table2[[#This Row],[income]]-Table2[[#This Row],[debit]])</f>
        <v>2616.5700000000024</v>
      </c>
    </row>
    <row r="191" spans="1:7">
      <c r="A191" t="str">
        <f>TEXT(Table2[[#This Row],[date]],"MMMM")</f>
        <v>January</v>
      </c>
      <c r="G191" s="2">
        <f>SUM(G190+Table2[[#This Row],[income]]-Table2[[#This Row],[debit]])</f>
        <v>2616.5700000000024</v>
      </c>
    </row>
    <row r="192" spans="1:7">
      <c r="A192" t="str">
        <f>TEXT(Table2[[#This Row],[date]],"MMMM")</f>
        <v>January</v>
      </c>
      <c r="G192" s="2">
        <f>SUM(G191+Table2[[#This Row],[income]]-Table2[[#This Row],[debit]])</f>
        <v>2616.5700000000024</v>
      </c>
    </row>
    <row r="193" spans="1:10">
      <c r="A193" t="str">
        <f>TEXT(Table2[[#This Row],[date]],"MMMM")</f>
        <v>January</v>
      </c>
      <c r="G193" s="2">
        <f>SUM(G192+Table2[[#This Row],[income]]-Table2[[#This Row],[debit]])</f>
        <v>2616.5700000000024</v>
      </c>
    </row>
    <row r="194" spans="1:10">
      <c r="A194" t="str">
        <f>TEXT(Table2[[#This Row],[date]],"MMMM")</f>
        <v>January</v>
      </c>
      <c r="G194" s="2">
        <f>SUM(G193+Table2[[#This Row],[income]]-Table2[[#This Row],[debit]])</f>
        <v>2616.5700000000024</v>
      </c>
    </row>
    <row r="195" spans="1:10">
      <c r="A195" t="str">
        <f>TEXT(Table2[[#This Row],[date]],"MMMM")</f>
        <v>January</v>
      </c>
      <c r="G195" s="2">
        <f>SUM(G194+Table2[[#This Row],[income]]-Table2[[#This Row],[debit]])</f>
        <v>2616.5700000000024</v>
      </c>
    </row>
    <row r="196" spans="1:10">
      <c r="A196" t="str">
        <f>TEXT(Table2[[#This Row],[date]],"MMMM")</f>
        <v>January</v>
      </c>
      <c r="G196" s="2">
        <f>SUM(G195+Table2[[#This Row],[income]]-Table2[[#This Row],[debit]])</f>
        <v>2616.5700000000024</v>
      </c>
    </row>
    <row r="197" spans="1:10">
      <c r="A197" t="str">
        <f>TEXT(Table2[[#This Row],[date]],"MMMM")</f>
        <v>January</v>
      </c>
      <c r="G197" s="2">
        <f>SUM(G196+Table2[[#This Row],[income]]-Table2[[#This Row],[debit]])</f>
        <v>2616.5700000000024</v>
      </c>
    </row>
    <row r="198" spans="1:10">
      <c r="A198" t="str">
        <f>TEXT(Table2[[#This Row],[date]],"MMMM")</f>
        <v>January</v>
      </c>
      <c r="G198" s="2">
        <f>SUM(G197+Table2[[#This Row],[income]]-Table2[[#This Row],[debit]])</f>
        <v>2616.5700000000024</v>
      </c>
    </row>
    <row r="199" spans="1:10">
      <c r="A199" t="str">
        <f>TEXT(Table2[[#This Row],[date]],"MMMM")</f>
        <v>January</v>
      </c>
      <c r="G199" s="2">
        <f>SUM(G198+Table2[[#This Row],[income]]-Table2[[#This Row],[debit]])</f>
        <v>2616.5700000000024</v>
      </c>
      <c r="J199" s="30"/>
    </row>
    <row r="200" spans="1:10">
      <c r="A200" t="str">
        <f>TEXT(Table2[[#This Row],[date]],"MMMM")</f>
        <v>January</v>
      </c>
      <c r="G200" s="2">
        <f>SUM(G199+Table2[[#This Row],[income]]-Table2[[#This Row],[debit]])</f>
        <v>2616.5700000000024</v>
      </c>
      <c r="J200" s="30"/>
    </row>
    <row r="201" spans="1:10">
      <c r="A201" t="str">
        <f>TEXT(Table2[[#This Row],[date]],"MMMM")</f>
        <v>January</v>
      </c>
      <c r="G201" s="2">
        <f>SUM(G200+Table2[[#This Row],[income]]-Table2[[#This Row],[debit]])</f>
        <v>2616.5700000000024</v>
      </c>
      <c r="J201" s="30"/>
    </row>
    <row r="202" spans="1:10">
      <c r="A202" t="str">
        <f>TEXT(Table2[[#This Row],[date]],"MMMM")</f>
        <v>January</v>
      </c>
      <c r="G202" s="2">
        <f>SUM(G201+Table2[[#This Row],[income]]-Table2[[#This Row],[debit]])</f>
        <v>2616.5700000000024</v>
      </c>
      <c r="J202" s="30"/>
    </row>
    <row r="203" spans="1:10">
      <c r="A203" t="str">
        <f>TEXT(Table2[[#This Row],[date]],"MMMM")</f>
        <v>January</v>
      </c>
      <c r="G203" s="2">
        <f>SUM(G202+Table2[[#This Row],[income]]-Table2[[#This Row],[debit]])</f>
        <v>2616.5700000000024</v>
      </c>
    </row>
    <row r="204" spans="1:10">
      <c r="A204" t="str">
        <f>TEXT(Table2[[#This Row],[date]],"MMMM")</f>
        <v>January</v>
      </c>
      <c r="G204" s="2">
        <f>SUM(G203+Table2[[#This Row],[income]]-Table2[[#This Row],[debit]])</f>
        <v>2616.5700000000024</v>
      </c>
    </row>
    <row r="205" spans="1:10">
      <c r="A205" t="str">
        <f>TEXT(Table2[[#This Row],[date]],"MMMM")</f>
        <v>January</v>
      </c>
      <c r="G205" s="2">
        <f>SUM(G204+Table2[[#This Row],[income]]-Table2[[#This Row],[debit]])</f>
        <v>2616.5700000000024</v>
      </c>
    </row>
    <row r="206" spans="1:10">
      <c r="A206" t="str">
        <f>TEXT(Table2[[#This Row],[date]],"MMMM")</f>
        <v>January</v>
      </c>
      <c r="G206" s="2">
        <f>SUM(G205+Table2[[#This Row],[income]]-Table2[[#This Row],[debit]])</f>
        <v>2616.5700000000024</v>
      </c>
    </row>
    <row r="207" spans="1:10">
      <c r="A207" t="str">
        <f>TEXT(Table2[[#This Row],[date]],"MMMM")</f>
        <v>January</v>
      </c>
      <c r="G207" s="2">
        <f>SUM(G206+Table2[[#This Row],[income]]-Table2[[#This Row],[debit]])</f>
        <v>2616.5700000000024</v>
      </c>
    </row>
    <row r="208" spans="1:10">
      <c r="A208" t="str">
        <f>TEXT(Table2[[#This Row],[date]],"MMMM")</f>
        <v>January</v>
      </c>
      <c r="G208" s="2">
        <f>SUM(G207+Table2[[#This Row],[income]]-Table2[[#This Row],[debit]])</f>
        <v>2616.5700000000024</v>
      </c>
    </row>
    <row r="209" spans="1:7">
      <c r="A209" t="str">
        <f>TEXT(Table2[[#This Row],[date]],"MMMM")</f>
        <v>January</v>
      </c>
      <c r="G209" s="2">
        <f>SUM(G208+Table2[[#This Row],[income]]-Table2[[#This Row],[debit]])</f>
        <v>2616.5700000000024</v>
      </c>
    </row>
    <row r="210" spans="1:7">
      <c r="A210" t="str">
        <f>TEXT(Table2[[#This Row],[date]],"MMMM")</f>
        <v>January</v>
      </c>
      <c r="G210" s="2">
        <f>SUM(G209+Table2[[#This Row],[income]]-Table2[[#This Row],[debit]])</f>
        <v>2616.5700000000024</v>
      </c>
    </row>
    <row r="211" spans="1:7">
      <c r="A211" t="str">
        <f>TEXT(Table2[[#This Row],[date]],"MMMM")</f>
        <v>January</v>
      </c>
      <c r="G211" s="2">
        <f>SUM(G210+Table2[[#This Row],[income]]-Table2[[#This Row],[debit]])</f>
        <v>2616.5700000000024</v>
      </c>
    </row>
    <row r="212" spans="1:7">
      <c r="A212" t="str">
        <f>TEXT(Table2[[#This Row],[date]],"MMMM")</f>
        <v>January</v>
      </c>
      <c r="G212" s="2">
        <f>SUM(G211+Table2[[#This Row],[income]]-Table2[[#This Row],[debit]])</f>
        <v>2616.5700000000024</v>
      </c>
    </row>
    <row r="213" spans="1:7">
      <c r="A213" t="str">
        <f>TEXT(Table2[[#This Row],[date]],"MMMM")</f>
        <v>January</v>
      </c>
      <c r="G213" s="2">
        <f>SUM(G212+Table2[[#This Row],[income]]-Table2[[#This Row],[debit]])</f>
        <v>2616.5700000000024</v>
      </c>
    </row>
    <row r="214" spans="1:7">
      <c r="A214" t="str">
        <f>TEXT(Table2[[#This Row],[date]],"MMMM")</f>
        <v>January</v>
      </c>
      <c r="G214" s="2">
        <f>SUM(G213+Table2[[#This Row],[income]]-Table2[[#This Row],[debit]])</f>
        <v>2616.5700000000024</v>
      </c>
    </row>
    <row r="215" spans="1:7">
      <c r="A215" t="str">
        <f>TEXT(Table2[[#This Row],[date]],"MMMM")</f>
        <v>January</v>
      </c>
      <c r="G215" s="2">
        <f>SUM(G214+Table2[[#This Row],[income]]-Table2[[#This Row],[debit]])</f>
        <v>2616.5700000000024</v>
      </c>
    </row>
    <row r="216" spans="1:7">
      <c r="A216" t="str">
        <f>TEXT(Table2[[#This Row],[date]],"MMMM")</f>
        <v>January</v>
      </c>
      <c r="G216" s="2">
        <f>SUM(G215+Table2[[#This Row],[income]]-Table2[[#This Row],[debit]])</f>
        <v>2616.5700000000024</v>
      </c>
    </row>
    <row r="217" spans="1:7">
      <c r="A217" t="str">
        <f>TEXT(Table2[[#This Row],[date]],"MMMM")</f>
        <v>January</v>
      </c>
      <c r="G217" s="2">
        <f>SUM(G216+Table2[[#This Row],[income]]-Table2[[#This Row],[debit]])</f>
        <v>2616.5700000000024</v>
      </c>
    </row>
    <row r="218" spans="1:7">
      <c r="A218" t="str">
        <f>TEXT(Table2[[#This Row],[date]],"MMMM")</f>
        <v>January</v>
      </c>
      <c r="G218" s="2">
        <f>SUM(G217+Table2[[#This Row],[income]]-Table2[[#This Row],[debit]])</f>
        <v>2616.5700000000024</v>
      </c>
    </row>
    <row r="219" spans="1:7">
      <c r="A219" t="str">
        <f>TEXT(Table2[[#This Row],[date]],"MMMM")</f>
        <v>January</v>
      </c>
      <c r="G219" s="2">
        <f>SUM(G218+Table2[[#This Row],[income]]-Table2[[#This Row],[debit]])</f>
        <v>2616.5700000000024</v>
      </c>
    </row>
    <row r="220" spans="1:7">
      <c r="A220" t="str">
        <f>TEXT(Table2[[#This Row],[date]],"MMMM")</f>
        <v>January</v>
      </c>
      <c r="G220" s="2">
        <f>SUM(G219+Table2[[#This Row],[income]]-Table2[[#This Row],[debit]])</f>
        <v>2616.5700000000024</v>
      </c>
    </row>
    <row r="221" spans="1:7">
      <c r="A221" t="str">
        <f>TEXT(Table2[[#This Row],[date]],"MMMM")</f>
        <v>January</v>
      </c>
      <c r="G221" s="2">
        <f>SUM(G220+Table2[[#This Row],[income]]-Table2[[#This Row],[debit]])</f>
        <v>2616.5700000000024</v>
      </c>
    </row>
    <row r="222" spans="1:7">
      <c r="A222" t="str">
        <f>TEXT(Table2[[#This Row],[date]],"MMMM")</f>
        <v>January</v>
      </c>
      <c r="G222" s="2">
        <f>SUM(G221+Table2[[#This Row],[income]]-Table2[[#This Row],[debit]])</f>
        <v>2616.5700000000024</v>
      </c>
    </row>
    <row r="223" spans="1:7">
      <c r="A223" t="str">
        <f>TEXT(Table2[[#This Row],[date]],"MMMM")</f>
        <v>January</v>
      </c>
      <c r="G223" s="2">
        <f>SUM(G222+Table2[[#This Row],[income]]-Table2[[#This Row],[debit]])</f>
        <v>2616.5700000000024</v>
      </c>
    </row>
    <row r="224" spans="1:7">
      <c r="A224" t="str">
        <f>TEXT(Table2[[#This Row],[date]],"MMMM")</f>
        <v>January</v>
      </c>
      <c r="G224" s="2">
        <f>SUM(G223+Table2[[#This Row],[income]]-Table2[[#This Row],[debit]])</f>
        <v>2616.5700000000024</v>
      </c>
    </row>
    <row r="225" spans="1:11">
      <c r="A225" t="str">
        <f>TEXT(Table2[[#This Row],[date]],"MMMM")</f>
        <v>January</v>
      </c>
      <c r="G225" s="2">
        <f>SUM(G224+Table2[[#This Row],[income]]-Table2[[#This Row],[debit]])</f>
        <v>2616.5700000000024</v>
      </c>
    </row>
    <row r="226" spans="1:11">
      <c r="A226" t="str">
        <f>TEXT(Table2[[#This Row],[date]],"MMMM")</f>
        <v>January</v>
      </c>
      <c r="G226" s="2">
        <f>SUM(G225+Table2[[#This Row],[income]]-Table2[[#This Row],[debit]])</f>
        <v>2616.5700000000024</v>
      </c>
    </row>
    <row r="227" spans="1:11">
      <c r="A227" t="str">
        <f>TEXT(Table2[[#This Row],[date]],"MMMM")</f>
        <v>January</v>
      </c>
      <c r="G227" s="2">
        <f>SUM(G226+Table2[[#This Row],[income]]-Table2[[#This Row],[debit]])</f>
        <v>2616.5700000000024</v>
      </c>
    </row>
    <row r="228" spans="1:11">
      <c r="A228" t="str">
        <f>TEXT(Table2[[#This Row],[date]],"MMMM")</f>
        <v>January</v>
      </c>
      <c r="G228" s="2">
        <f>SUM(G227+Table2[[#This Row],[income]]-Table2[[#This Row],[debit]])</f>
        <v>2616.5700000000024</v>
      </c>
    </row>
    <row r="229" spans="1:11">
      <c r="A229" t="str">
        <f>TEXT(Table2[[#This Row],[date]],"MMMM")</f>
        <v>January</v>
      </c>
      <c r="G229" s="2">
        <f>SUM(G228+Table2[[#This Row],[income]]-Table2[[#This Row],[debit]])</f>
        <v>2616.5700000000024</v>
      </c>
    </row>
    <row r="230" spans="1:11">
      <c r="A230" t="str">
        <f>TEXT(Table2[[#This Row],[date]],"MMMM")</f>
        <v>January</v>
      </c>
      <c r="G230" s="2">
        <f>SUM(G229+Table2[[#This Row],[income]]-Table2[[#This Row],[debit]])</f>
        <v>2616.5700000000024</v>
      </c>
    </row>
    <row r="231" spans="1:11">
      <c r="A231" t="str">
        <f>TEXT(Table2[[#This Row],[date]],"MMMM")</f>
        <v>January</v>
      </c>
      <c r="G231" s="2">
        <f>SUM(G230+Table2[[#This Row],[income]]-Table2[[#This Row],[debit]])</f>
        <v>2616.5700000000024</v>
      </c>
      <c r="K231" s="9"/>
    </row>
    <row r="232" spans="1:11">
      <c r="A232" t="str">
        <f>TEXT(Table2[[#This Row],[date]],"MMMM")</f>
        <v>January</v>
      </c>
      <c r="G232" s="2">
        <f>SUM(G231+Table2[[#This Row],[income]]-Table2[[#This Row],[debit]])</f>
        <v>2616.5700000000024</v>
      </c>
    </row>
    <row r="233" spans="1:11">
      <c r="A233" t="str">
        <f>TEXT(Table2[[#This Row],[date]],"MMMM")</f>
        <v>January</v>
      </c>
      <c r="G233" s="2">
        <f>SUM(G232+Table2[[#This Row],[income]]-Table2[[#This Row],[debit]])</f>
        <v>2616.5700000000024</v>
      </c>
    </row>
    <row r="234" spans="1:11">
      <c r="A234" t="str">
        <f>TEXT(Table2[[#This Row],[date]],"MMMM")</f>
        <v>January</v>
      </c>
      <c r="G234" s="2">
        <f>SUM(G233+Table2[[#This Row],[income]]-Table2[[#This Row],[debit]])</f>
        <v>2616.5700000000024</v>
      </c>
    </row>
    <row r="235" spans="1:11">
      <c r="A235" t="str">
        <f>TEXT(Table2[[#This Row],[date]],"MMMM")</f>
        <v>January</v>
      </c>
      <c r="G235" s="2">
        <f>SUM(G234+Table2[[#This Row],[income]]-Table2[[#This Row],[debit]])</f>
        <v>2616.5700000000024</v>
      </c>
    </row>
    <row r="236" spans="1:11">
      <c r="A236" t="str">
        <f>TEXT(Table2[[#This Row],[date]],"MMMM")</f>
        <v>January</v>
      </c>
      <c r="G236" s="2">
        <f>SUM(G235+Table2[[#This Row],[income]]-Table2[[#This Row],[debit]])</f>
        <v>2616.5700000000024</v>
      </c>
    </row>
    <row r="237" spans="1:11">
      <c r="A237" t="str">
        <f>TEXT(Table2[[#This Row],[date]],"MMMM")</f>
        <v>January</v>
      </c>
      <c r="G237" s="2">
        <f>SUM(G236+Table2[[#This Row],[income]]-Table2[[#This Row],[debit]])</f>
        <v>2616.5700000000024</v>
      </c>
    </row>
    <row r="238" spans="1:11">
      <c r="A238" t="str">
        <f>TEXT(Table2[[#This Row],[date]],"MMMM")</f>
        <v>January</v>
      </c>
      <c r="G238" s="2">
        <f>SUM(G237+Table2[[#This Row],[income]]-Table2[[#This Row],[debit]])</f>
        <v>2616.5700000000024</v>
      </c>
    </row>
    <row r="239" spans="1:11">
      <c r="A239" t="str">
        <f>TEXT(Table2[[#This Row],[date]],"MMMM")</f>
        <v>January</v>
      </c>
      <c r="G239" s="2">
        <f>SUM(G238+Table2[[#This Row],[income]]-Table2[[#This Row],[debit]])</f>
        <v>2616.5700000000024</v>
      </c>
    </row>
    <row r="240" spans="1:11">
      <c r="A240" t="str">
        <f>TEXT(Table2[[#This Row],[date]],"MMMM")</f>
        <v>January</v>
      </c>
      <c r="G240" s="2">
        <f>SUM(G239+Table2[[#This Row],[income]]-Table2[[#This Row],[debit]])</f>
        <v>2616.5700000000024</v>
      </c>
    </row>
    <row r="241" spans="1:7">
      <c r="A241" t="str">
        <f>TEXT(Table2[[#This Row],[date]],"MMMM")</f>
        <v>January</v>
      </c>
      <c r="G241" s="2">
        <f>SUM(G240+Table2[[#This Row],[income]]-Table2[[#This Row],[debit]])</f>
        <v>2616.5700000000024</v>
      </c>
    </row>
    <row r="242" spans="1:7"/>
    <row r="243" spans="1:7"/>
    <row r="244" spans="1:7"/>
    <row r="245" spans="1:7"/>
    <row r="246" spans="1:7"/>
    <row r="247" spans="1:7"/>
    <row r="248" spans="1:7"/>
    <row r="249" spans="1:7"/>
    <row r="250" spans="1:7"/>
    <row r="251" spans="1:7"/>
    <row r="252" spans="1:7"/>
    <row r="253" spans="1:7"/>
    <row r="254" spans="1:7"/>
    <row r="255" spans="1:7"/>
    <row r="256" spans="1:7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</sheetData>
  <conditionalFormatting sqref="C142:C1048576 C1:C140">
    <cfRule type="containsText" dxfId="20" priority="36" operator="containsText" text="CC">
      <formula>NOT(ISERROR(SEARCH("CC",C1)))</formula>
    </cfRule>
  </conditionalFormatting>
  <conditionalFormatting sqref="C2:C696">
    <cfRule type="containsText" dxfId="19" priority="1" operator="containsText" text="*TIP*">
      <formula>NOT(ISERROR(SEARCH("*TIP*",C2)))</formula>
    </cfRule>
  </conditionalFormatting>
  <conditionalFormatting sqref="H2:I696">
    <cfRule type="containsText" dxfId="18" priority="38" operator="containsText" text="Unpaid">
      <formula>NOT(ISERROR(SEARCH("Unpaid",H2)))</formula>
    </cfRule>
    <cfRule type="containsText" dxfId="17" priority="39" operator="containsText" text="paid">
      <formula>NOT(ISERROR(SEARCH("paid",H2)))</formula>
    </cfRule>
  </conditionalFormatting>
  <conditionalFormatting sqref="K2">
    <cfRule type="dataBar" priority="5">
      <dataBar>
        <cfvo type="num" val="0"/>
        <cfvo type="num" val="10500"/>
        <color rgb="FF63C384"/>
      </dataBar>
      <extLst>
        <ext xmlns:x14="http://schemas.microsoft.com/office/spreadsheetml/2009/9/main" uri="{B025F937-C7B1-47D3-B67F-A62EFF666E3E}">
          <x14:id>{13905DE1-2E4B-4CA3-9744-464641B67C74}</x14:id>
        </ext>
      </extLst>
    </cfRule>
  </conditionalFormatting>
  <conditionalFormatting sqref="K3">
    <cfRule type="dataBar" priority="16">
      <dataBar>
        <cfvo type="num" val="0"/>
        <cfvo type="num" val="1050"/>
        <color rgb="FFFF555A"/>
      </dataBar>
      <extLst>
        <ext xmlns:x14="http://schemas.microsoft.com/office/spreadsheetml/2009/9/main" uri="{B025F937-C7B1-47D3-B67F-A62EFF666E3E}">
          <x14:id>{100C7517-EA5C-48B4-9309-3F953F9105C0}</x14:id>
        </ext>
      </extLst>
    </cfRule>
  </conditionalFormatting>
  <conditionalFormatting sqref="K4">
    <cfRule type="dataBar" priority="15">
      <dataBar>
        <cfvo type="num" val="0"/>
        <cfvo type="num" val="2100"/>
        <color rgb="FFFF555A"/>
      </dataBar>
      <extLst>
        <ext xmlns:x14="http://schemas.microsoft.com/office/spreadsheetml/2009/9/main" uri="{B025F937-C7B1-47D3-B67F-A62EFF666E3E}">
          <x14:id>{6C55EB74-A48E-481E-8162-64820B79E7F6}</x14:id>
        </ext>
      </extLst>
    </cfRule>
  </conditionalFormatting>
  <conditionalFormatting sqref="K5">
    <cfRule type="dataBar" priority="14">
      <dataBar>
        <cfvo type="num" val="0"/>
        <cfvo type="num" val="614"/>
        <color rgb="FFFF555A"/>
      </dataBar>
      <extLst>
        <ext xmlns:x14="http://schemas.microsoft.com/office/spreadsheetml/2009/9/main" uri="{B025F937-C7B1-47D3-B67F-A62EFF666E3E}">
          <x14:id>{E9AF9FCA-A2B2-48BE-9D4C-D1E164A8B9A5}</x14:id>
        </ext>
      </extLst>
    </cfRule>
  </conditionalFormatting>
  <conditionalFormatting sqref="K6">
    <cfRule type="dataBar" priority="13">
      <dataBar>
        <cfvo type="num" val="0"/>
        <cfvo type="num" val="2736"/>
        <color rgb="FFFF555A"/>
      </dataBar>
      <extLst>
        <ext xmlns:x14="http://schemas.microsoft.com/office/spreadsheetml/2009/9/main" uri="{B025F937-C7B1-47D3-B67F-A62EFF666E3E}">
          <x14:id>{98EFE51F-B040-4BED-886A-6A07B6F81F0A}</x14:id>
        </ext>
      </extLst>
    </cfRule>
  </conditionalFormatting>
  <conditionalFormatting sqref="K7">
    <cfRule type="dataBar" priority="12">
      <dataBar>
        <cfvo type="num" val="0"/>
        <cfvo type="num" val="930"/>
        <color rgb="FFFF555A"/>
      </dataBar>
      <extLst>
        <ext xmlns:x14="http://schemas.microsoft.com/office/spreadsheetml/2009/9/main" uri="{B025F937-C7B1-47D3-B67F-A62EFF666E3E}">
          <x14:id>{337012A9-90E6-4D65-BA79-2F98EEB7E748}</x14:id>
        </ext>
      </extLst>
    </cfRule>
  </conditionalFormatting>
  <conditionalFormatting sqref="K8">
    <cfRule type="dataBar" priority="11">
      <dataBar>
        <cfvo type="num" val="0"/>
        <cfvo type="num" val="870"/>
        <color rgb="FFFF555A"/>
      </dataBar>
      <extLst>
        <ext xmlns:x14="http://schemas.microsoft.com/office/spreadsheetml/2009/9/main" uri="{B025F937-C7B1-47D3-B67F-A62EFF666E3E}">
          <x14:id>{3486819F-830B-4C3A-9FCB-B546EB0FE88C}</x14:id>
        </ext>
      </extLst>
    </cfRule>
  </conditionalFormatting>
  <conditionalFormatting sqref="K9">
    <cfRule type="dataBar" priority="10">
      <dataBar>
        <cfvo type="num" val="0"/>
        <cfvo type="num" val="500"/>
        <color rgb="FFFF555A"/>
      </dataBar>
      <extLst>
        <ext xmlns:x14="http://schemas.microsoft.com/office/spreadsheetml/2009/9/main" uri="{B025F937-C7B1-47D3-B67F-A62EFF666E3E}">
          <x14:id>{C055E5A8-C4F5-4B1E-9E13-1C4DFC0F1925}</x14:id>
        </ext>
      </extLst>
    </cfRule>
  </conditionalFormatting>
  <conditionalFormatting sqref="K10">
    <cfRule type="dataBar" priority="8">
      <dataBar>
        <cfvo type="num" val="0"/>
        <cfvo type="num" val="750"/>
        <color rgb="FFFF555A"/>
      </dataBar>
      <extLst>
        <ext xmlns:x14="http://schemas.microsoft.com/office/spreadsheetml/2009/9/main" uri="{B025F937-C7B1-47D3-B67F-A62EFF666E3E}">
          <x14:id>{346EAFDF-0A89-48DD-AC7C-2C1864764DAF}</x14:id>
        </ext>
      </extLst>
    </cfRule>
  </conditionalFormatting>
  <conditionalFormatting sqref="K11">
    <cfRule type="dataBar" priority="4">
      <dataBar>
        <cfvo type="num" val="0"/>
        <cfvo type="num" val="400"/>
        <color rgb="FFFF555A"/>
      </dataBar>
      <extLst>
        <ext xmlns:x14="http://schemas.microsoft.com/office/spreadsheetml/2009/9/main" uri="{B025F937-C7B1-47D3-B67F-A62EFF666E3E}">
          <x14:id>{5537989E-CB11-45F1-8049-837A6E8372DB}</x14:id>
        </ext>
      </extLst>
    </cfRule>
  </conditionalFormatting>
  <conditionalFormatting sqref="K12">
    <cfRule type="dataBar" priority="3">
      <dataBar>
        <cfvo type="num" val="0"/>
        <cfvo type="num" val="200"/>
        <color rgb="FFFF555A"/>
      </dataBar>
      <extLst>
        <ext xmlns:x14="http://schemas.microsoft.com/office/spreadsheetml/2009/9/main" uri="{B025F937-C7B1-47D3-B67F-A62EFF666E3E}">
          <x14:id>{9FC6F9D7-55F5-4288-AAF3-D589DD276B33}</x14:id>
        </ext>
      </extLst>
    </cfRule>
  </conditionalFormatting>
  <conditionalFormatting sqref="K13">
    <cfRule type="dataBar" priority="2">
      <dataBar>
        <cfvo type="num" val="0"/>
        <cfvo type="num" val="200"/>
        <color rgb="FFFF555A"/>
      </dataBar>
      <extLst>
        <ext xmlns:x14="http://schemas.microsoft.com/office/spreadsheetml/2009/9/main" uri="{B025F937-C7B1-47D3-B67F-A62EFF666E3E}">
          <x14:id>{2D6CCF39-478F-483F-905A-807E1F9DFEF6}</x14:id>
        </ext>
      </extLst>
    </cfRule>
  </conditionalFormatting>
  <conditionalFormatting sqref="K14">
    <cfRule type="dataBar" priority="7">
      <dataBar>
        <cfvo type="num" val="0"/>
        <cfvo type="num" val="150"/>
        <color rgb="FFFF555A"/>
      </dataBar>
      <extLst>
        <ext xmlns:x14="http://schemas.microsoft.com/office/spreadsheetml/2009/9/main" uri="{B025F937-C7B1-47D3-B67F-A62EFF666E3E}">
          <x14:id>{C0035F9A-302A-463A-AA94-E04C2DCFFEC8}</x14:id>
        </ext>
      </extLst>
    </cfRule>
  </conditionalFormatting>
  <conditionalFormatting sqref="K15">
    <cfRule type="dataBar" priority="6">
      <dataBar>
        <cfvo type="num" val="0"/>
        <cfvo type="num" val="325"/>
        <color rgb="FFFF555A"/>
      </dataBar>
      <extLst>
        <ext xmlns:x14="http://schemas.microsoft.com/office/spreadsheetml/2009/9/main" uri="{B025F937-C7B1-47D3-B67F-A62EFF666E3E}">
          <x14:id>{534E647B-671C-4670-9823-EEA2B38603C1}</x14:id>
        </ext>
      </extLst>
    </cfRule>
  </conditionalFormatting>
  <conditionalFormatting sqref="M2:M19">
    <cfRule type="cellIs" dxfId="16" priority="18" operator="greaterThan">
      <formula>0</formula>
    </cfRule>
    <cfRule type="cellIs" dxfId="15" priority="19" operator="lessThan">
      <formula>0</formula>
    </cfRule>
  </conditionalFormatting>
  <dataValidations count="6">
    <dataValidation type="list" allowBlank="1" showInputMessage="1" showErrorMessage="1" sqref="J1" xr:uid="{934C4493-C87D-407A-997B-1786542F8D3A}">
      <formula1>"January, February, March, April, May, June, July, August, September, October, November, December"</formula1>
    </dataValidation>
    <dataValidation type="list" allowBlank="1" showInputMessage="1" showErrorMessage="1" sqref="D2" xr:uid="{926E2902-08C0-4B19-9BB1-2EC84F7CA34B}">
      <formula1>"Transfer to Savings, Mortgage, Phone bill, HOA, Utilities, Groceries, Gas, Essentials, Subscriptions, Tithe, Insurance, Resturaunt, Blow Money, Entertainment, Savings, Investing, income, principal, VA benefits"</formula1>
    </dataValidation>
    <dataValidation type="list" allowBlank="1" showInputMessage="1" showErrorMessage="1" sqref="D697:D1048576" xr:uid="{1FABB765-8B37-466D-B9B1-A9A6277BBBDC}">
      <formula1>"Transfer to Savings, Mortgage, Phone bill, HOA, Utilities, Groceries, Gas, Essentials, Subscriptions, Tithe, Insurance, Resturaunt, Blow Money, Entertainment, Savings, Investing, income, principal, VA benefits, Emergency"</formula1>
    </dataValidation>
    <dataValidation type="list" allowBlank="1" showInputMessage="1" showErrorMessage="1" sqref="H2:H696" xr:uid="{756A129F-01D2-45D9-850B-FD51A12FE6CE}">
      <formula1>"Paid, Unpaid"</formula1>
    </dataValidation>
    <dataValidation type="list" allowBlank="1" showInputMessage="1" showErrorMessage="1" sqref="D3:D696" xr:uid="{B50E7D46-6EF9-45B9-A252-9B803FD6CF5E}">
      <formula1>"Tithe, House Fund, Retirement, Mortgage, Groceries, Horse Budget, Baby Needs, Utilities / Gas / Insurance, Essentials, Subscriptions, Dining Out, Entertainment, Income, SAVINGS!"</formula1>
    </dataValidation>
    <dataValidation allowBlank="1" showInputMessage="1" showErrorMessage="1" sqref="I2:I696" xr:uid="{E291F433-3709-41BA-B538-0ED9A7E178F6}"/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905DE1-2E4B-4CA3-9744-464641B67C74}">
            <x14:dataBar minLength="0" maxLength="100" gradient="0">
              <x14:cfvo type="num">
                <xm:f>0</xm:f>
              </x14:cfvo>
              <x14:cfvo type="num">
                <xm:f>10500</xm:f>
              </x14:cfvo>
              <x14:negativeFill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100C7517-EA5C-48B4-9309-3F953F9105C0}">
            <x14:dataBar minLength="0" maxLength="100" gradient="0">
              <x14:cfvo type="num">
                <xm:f>0</xm:f>
              </x14:cfvo>
              <x14:cfvo type="num">
                <xm:f>1050</xm:f>
              </x14:cfvo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6C55EB74-A48E-481E-8162-64820B79E7F6}">
            <x14:dataBar minLength="0" maxLength="100" gradient="0">
              <x14:cfvo type="num">
                <xm:f>0</xm:f>
              </x14:cfvo>
              <x14:cfvo type="num">
                <xm:f>2100</xm:f>
              </x14:cfvo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E9AF9FCA-A2B2-48BE-9D4C-D1E164A8B9A5}">
            <x14:dataBar minLength="0" maxLength="100" gradient="0">
              <x14:cfvo type="num">
                <xm:f>0</xm:f>
              </x14:cfvo>
              <x14:cfvo type="num">
                <xm:f>614</xm:f>
              </x14:cfvo>
              <x14:negativeFill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98EFE51F-B040-4BED-886A-6A07B6F81F0A}">
            <x14:dataBar minLength="0" maxLength="100" gradient="0">
              <x14:cfvo type="num">
                <xm:f>0</xm:f>
              </x14:cfvo>
              <x14:cfvo type="num">
                <xm:f>2736</xm:f>
              </x14:cfvo>
              <x14:negativeFill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337012A9-90E6-4D65-BA79-2F98EEB7E748}">
            <x14:dataBar minLength="0" maxLength="100" gradient="0">
              <x14:cfvo type="num">
                <xm:f>0</xm:f>
              </x14:cfvo>
              <x14:cfvo type="num">
                <xm:f>930</xm:f>
              </x14:cfvo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3486819F-830B-4C3A-9FCB-B546EB0FE88C}">
            <x14:dataBar minLength="0" maxLength="100" gradient="0">
              <x14:cfvo type="num">
                <xm:f>0</xm:f>
              </x14:cfvo>
              <x14:cfvo type="num">
                <xm:f>870</xm:f>
              </x14:cfvo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055E5A8-C4F5-4B1E-9E13-1C4DFC0F1925}">
            <x14:dataBar minLength="0" maxLength="100" gradient="0">
              <x14:cfvo type="num">
                <xm:f>0</xm:f>
              </x14:cfvo>
              <x14:cfvo type="num">
                <xm:f>500</xm:f>
              </x14:cfvo>
              <x14:negativeFill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346EAFDF-0A89-48DD-AC7C-2C1864764DAF}">
            <x14:dataBar minLength="0" maxLength="100" gradient="0">
              <x14:cfvo type="num">
                <xm:f>0</xm:f>
              </x14:cfvo>
              <x14:cfvo type="num">
                <xm:f>750</xm:f>
              </x14:cfvo>
              <x14:negativeFill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5537989E-CB11-45F1-8049-837A6E8372DB}">
            <x14:dataBar minLength="0" maxLength="100" gradient="0">
              <x14:cfvo type="num">
                <xm:f>0</xm:f>
              </x14:cfvo>
              <x14:cfvo type="num">
                <xm:f>400</xm:f>
              </x14:cfvo>
              <x14:negativeFill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9FC6F9D7-55F5-4288-AAF3-D589DD276B33}">
            <x14:dataBar minLength="0" maxLength="100" gradient="0">
              <x14:cfvo type="num">
                <xm:f>0</xm:f>
              </x14:cfvo>
              <x14:cfvo type="num">
                <xm:f>200</xm:f>
              </x14:cfvo>
              <x14:negativeFill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2D6CCF39-478F-483F-905A-807E1F9DFEF6}">
            <x14:dataBar minLength="0" maxLength="100" gradient="0">
              <x14:cfvo type="num">
                <xm:f>0</xm:f>
              </x14:cfvo>
              <x14:cfvo type="num">
                <xm:f>200</xm:f>
              </x14:cfvo>
              <x14:negativeFill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C0035F9A-302A-463A-AA94-E04C2DCFFEC8}">
            <x14:dataBar minLength="0" maxLength="100" gradient="0">
              <x14:cfvo type="num">
                <xm:f>0</xm:f>
              </x14:cfvo>
              <x14:cfvo type="num">
                <xm:f>150</xm:f>
              </x14:cfvo>
              <x14:negativeFill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534E647B-671C-4670-9823-EEA2B38603C1}">
            <x14:dataBar minLength="0" maxLength="100" gradient="0">
              <x14:cfvo type="num">
                <xm:f>0</xm:f>
              </x14:cfvo>
              <x14:cfvo type="num">
                <xm:f>325</xm:f>
              </x14:cfvo>
              <x14:negativeFillColor rgb="FFFF0000"/>
              <x14:axisColor rgb="FF000000"/>
            </x14:dataBar>
          </x14:cfRule>
          <xm:sqref>K15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9CDB-2E26-4D6F-AAAC-99C4B153DFC5}">
  <sheetPr>
    <tabColor rgb="FF0070C0"/>
  </sheetPr>
  <dimension ref="A1:T86"/>
  <sheetViews>
    <sheetView tabSelected="1" topLeftCell="A5" workbookViewId="0">
      <selection activeCell="S34" sqref="S34"/>
    </sheetView>
  </sheetViews>
  <sheetFormatPr defaultRowHeight="15" outlineLevelRow="1" outlineLevelCol="1"/>
  <cols>
    <col min="1" max="1" width="3.42578125" customWidth="1"/>
    <col min="2" max="2" width="23.5703125" bestFit="1" customWidth="1"/>
    <col min="3" max="3" width="10.5703125" bestFit="1" customWidth="1"/>
    <col min="4" max="4" width="11.5703125" bestFit="1" customWidth="1"/>
    <col min="5" max="5" width="11.42578125" customWidth="1"/>
    <col min="6" max="6" width="5.85546875" hidden="1" customWidth="1" outlineLevel="1"/>
    <col min="7" max="7" width="11.5703125" bestFit="1" customWidth="1" collapsed="1"/>
    <col min="8" max="9" width="10.85546875" bestFit="1" customWidth="1"/>
    <col min="10" max="10" width="6.140625" bestFit="1" customWidth="1"/>
    <col min="11" max="12" width="10.5703125" bestFit="1" customWidth="1"/>
    <col min="13" max="13" width="9.85546875" bestFit="1" customWidth="1"/>
    <col min="14" max="14" width="10.5703125" bestFit="1" customWidth="1"/>
    <col min="15" max="15" width="11.42578125" customWidth="1"/>
    <col min="16" max="16" width="9.85546875" customWidth="1"/>
    <col min="17" max="17" width="11.85546875" customWidth="1"/>
    <col min="18" max="18" width="10" bestFit="1" customWidth="1"/>
    <col min="19" max="19" width="12.42578125" customWidth="1"/>
    <col min="20" max="20" width="3" customWidth="1"/>
  </cols>
  <sheetData>
    <row r="1" spans="1:2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21.75" customHeight="1">
      <c r="A2" s="4"/>
      <c r="B2" s="84" t="s">
        <v>142</v>
      </c>
      <c r="C2" s="84"/>
      <c r="D2" s="84"/>
      <c r="E2" s="84"/>
      <c r="F2" s="13"/>
      <c r="G2" s="86" t="s">
        <v>143</v>
      </c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4"/>
    </row>
    <row r="3" spans="1:20" ht="18.75" customHeight="1">
      <c r="A3" s="4"/>
      <c r="B3" s="41" t="s">
        <v>144</v>
      </c>
      <c r="C3" s="85" t="s">
        <v>9</v>
      </c>
      <c r="D3" s="85"/>
      <c r="E3" s="85"/>
      <c r="F3" s="13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4"/>
    </row>
    <row r="4" spans="1:20">
      <c r="A4" s="4"/>
      <c r="B4" s="35" t="s">
        <v>14</v>
      </c>
      <c r="C4" s="35" t="s">
        <v>10</v>
      </c>
      <c r="D4" s="35" t="s">
        <v>145</v>
      </c>
      <c r="E4" s="35" t="s">
        <v>146</v>
      </c>
      <c r="F4" s="36"/>
      <c r="G4" s="35" t="s">
        <v>147</v>
      </c>
      <c r="H4" s="35" t="s">
        <v>9</v>
      </c>
      <c r="I4" s="35" t="s">
        <v>148</v>
      </c>
      <c r="J4" s="35" t="s">
        <v>149</v>
      </c>
      <c r="K4" s="35" t="s">
        <v>150</v>
      </c>
      <c r="L4" s="35" t="s">
        <v>151</v>
      </c>
      <c r="M4" s="35" t="s">
        <v>152</v>
      </c>
      <c r="N4" s="35" t="s">
        <v>153</v>
      </c>
      <c r="O4" s="35" t="s">
        <v>154</v>
      </c>
      <c r="P4" s="35" t="s">
        <v>155</v>
      </c>
      <c r="Q4" s="35" t="s">
        <v>156</v>
      </c>
      <c r="R4" s="35" t="s">
        <v>157</v>
      </c>
      <c r="S4" s="35" t="s">
        <v>10</v>
      </c>
      <c r="T4" s="12"/>
    </row>
    <row r="5" spans="1:20">
      <c r="A5" s="4"/>
      <c r="B5" s="74" t="s">
        <v>25</v>
      </c>
      <c r="C5" s="2">
        <f>SUMIFS(Logbook!E$1:E$696, Logbook!A$1:A$696, DashBoard!$C$3, Logbook!C$1:C$696, DashBoard!B5)</f>
        <v>2033</v>
      </c>
      <c r="D5" s="2">
        <v>4066</v>
      </c>
      <c r="E5" s="9">
        <v>0</v>
      </c>
      <c r="G5" s="2">
        <f>SUMIFS(Logbook!$E$1:$E$696,Logbook!$A$1:$A$696,DashBoard!G$4,Logbook!$C$1:$C$696,DashBoard!$B5)</f>
        <v>6100.0599999999995</v>
      </c>
      <c r="H5" s="2">
        <f>SUMIFS(Logbook!$E$1:$E$696,Logbook!$A$1:$A$696,DashBoard!H$4,Logbook!$C$1:$C$696,DashBoard!$B5)</f>
        <v>2033</v>
      </c>
      <c r="I5" s="2">
        <f>SUMIFS(Logbook!$E$1:$E$696,Logbook!$A$1:$A$696,DashBoard!I$4,Logbook!$C$1:$C$696,DashBoard!$B5)</f>
        <v>0</v>
      </c>
      <c r="J5" s="2">
        <f>SUMIFS(Logbook!$E$1:$E$696,Logbook!$A$1:$A$696,DashBoard!J$4,Logbook!$C$1:$C$696,DashBoard!$B5)</f>
        <v>0</v>
      </c>
      <c r="K5" s="2">
        <f>SUMIFS(Logbook!$E$1:$E$696,Logbook!$A$1:$A$696,DashBoard!K$4,Logbook!$C$1:$C$696,DashBoard!$B5)</f>
        <v>0</v>
      </c>
      <c r="L5" s="2">
        <f>SUMIFS(Logbook!$E$1:$E$696,Logbook!$A$1:$A$696,DashBoard!L$4,Logbook!$C$1:$C$696,DashBoard!$B5)</f>
        <v>0</v>
      </c>
      <c r="M5" s="2">
        <f>SUMIFS(Logbook!$E$1:$E$696,Logbook!$A$1:$A$696,DashBoard!M$4,Logbook!$C$1:$C$696,DashBoard!$B5)</f>
        <v>0</v>
      </c>
      <c r="N5" s="2">
        <f>SUMIFS(Logbook!$E$1:$E$696,Logbook!$A$1:$A$696,DashBoard!N$4,Logbook!$C$1:$C$696,DashBoard!$B5)</f>
        <v>0</v>
      </c>
      <c r="O5" s="2">
        <f>SUMIFS(Logbook!$E$1:$E$696,Logbook!$A$1:$A$696,DashBoard!O$4,Logbook!$C$1:$C$696,DashBoard!$B5)</f>
        <v>0</v>
      </c>
      <c r="P5" s="2">
        <f>SUMIFS(Logbook!$E$1:$E$696,Logbook!$A$1:$A$696,DashBoard!P$4,Logbook!$C$1:$C$696,DashBoard!$B5)</f>
        <v>0</v>
      </c>
      <c r="Q5" s="2">
        <f>SUMIFS(Logbook!$E$1:$E$696,Logbook!$A$1:$A$696,DashBoard!Q$4,Logbook!$C$1:$C$696,DashBoard!$B5)</f>
        <v>0</v>
      </c>
      <c r="R5" s="2">
        <f>SUMIFS(Logbook!$E$1:$E$696,Logbook!$A$1:$A$696,DashBoard!R$4,Logbook!$C$1:$C$696,DashBoard!$B5)</f>
        <v>0</v>
      </c>
      <c r="S5" s="77">
        <f>SUM(G5:R5)</f>
        <v>8133.0599999999995</v>
      </c>
      <c r="T5" s="12"/>
    </row>
    <row r="6" spans="1:20">
      <c r="A6" s="4"/>
      <c r="B6" s="74" t="s">
        <v>65</v>
      </c>
      <c r="C6" s="2">
        <f>SUMIFS(Logbook!E$1:E$696, Logbook!A$1:A$696, DashBoard!$C$3, Logbook!C$1:C$696, DashBoard!B6)</f>
        <v>1911.27</v>
      </c>
      <c r="D6" s="2">
        <v>3822.54</v>
      </c>
      <c r="E6" s="9">
        <v>0</v>
      </c>
      <c r="G6" s="2">
        <f>SUMIFS(Logbook!$E$1:$E$696,Logbook!$A$1:$A$696,DashBoard!G$4,Logbook!$C$1:$C$696,DashBoard!$B6)</f>
        <v>3822.5299999999997</v>
      </c>
      <c r="H6" s="2">
        <f>SUMIFS(Logbook!$E$1:$E$696,Logbook!$A$1:$A$696,DashBoard!H$4,Logbook!$C$1:$C$696,DashBoard!$B6)</f>
        <v>1911.27</v>
      </c>
      <c r="I6" s="2">
        <f>SUMIFS(Logbook!$E$1:$E$696,Logbook!$A$1:$A$696,DashBoard!I$4,Logbook!$C$1:$C$696,DashBoard!$B6)</f>
        <v>0</v>
      </c>
      <c r="J6" s="2">
        <f>SUMIFS(Logbook!$E$1:$E$696,Logbook!$A$1:$A$696,DashBoard!J$4,Logbook!$C$1:$C$696,DashBoard!$B6)</f>
        <v>0</v>
      </c>
      <c r="K6" s="2">
        <f>SUMIFS(Logbook!$E$1:$E$696,Logbook!$A$1:$A$696,DashBoard!K$4,Logbook!$C$1:$C$696,DashBoard!$B6)</f>
        <v>0</v>
      </c>
      <c r="L6" s="2">
        <f>SUMIFS(Logbook!$E$1:$E$696,Logbook!$A$1:$A$696,DashBoard!L$4,Logbook!$C$1:$C$696,DashBoard!$B6)</f>
        <v>0</v>
      </c>
      <c r="M6" s="2">
        <f>SUMIFS(Logbook!$E$1:$E$696,Logbook!$A$1:$A$696,DashBoard!M$4,Logbook!$C$1:$C$696,DashBoard!$B6)</f>
        <v>0</v>
      </c>
      <c r="N6" s="2">
        <f>SUMIFS(Logbook!$E$1:$E$696,Logbook!$A$1:$A$696,DashBoard!N$4,Logbook!$C$1:$C$696,DashBoard!$B6)</f>
        <v>0</v>
      </c>
      <c r="O6" s="2">
        <f>SUMIFS(Logbook!$E$1:$E$696,Logbook!$A$1:$A$696,DashBoard!O$4,Logbook!$C$1:$C$696,DashBoard!$B6)</f>
        <v>0</v>
      </c>
      <c r="P6" s="2">
        <f>SUMIFS(Logbook!$E$1:$E$696,Logbook!$A$1:$A$696,DashBoard!P$4,Logbook!$C$1:$C$696,DashBoard!$B6)</f>
        <v>0</v>
      </c>
      <c r="Q6" s="2">
        <f>SUMIFS(Logbook!$E$1:$E$696,Logbook!$A$1:$A$696,DashBoard!Q$4,Logbook!$C$1:$C$696,DashBoard!$B6)</f>
        <v>0</v>
      </c>
      <c r="R6" s="2">
        <f>SUMIFS(Logbook!$E$1:$E$696,Logbook!$A$1:$A$696,DashBoard!R$4,Logbook!$C$1:$C$696,DashBoard!$B6)</f>
        <v>0</v>
      </c>
      <c r="S6" s="77">
        <f t="shared" ref="S6:S11" si="0">SUM(G6:R6)</f>
        <v>5733.7999999999993</v>
      </c>
      <c r="T6" s="12"/>
    </row>
    <row r="7" spans="1:20">
      <c r="A7" s="4"/>
      <c r="B7" s="74" t="s">
        <v>93</v>
      </c>
      <c r="C7" s="2">
        <f>SUMIFS(Logbook!E$1:E$696, Logbook!A$1:A$696, DashBoard!$C$3, Logbook!C$1:C$696, DashBoard!B7)</f>
        <v>0</v>
      </c>
      <c r="D7" s="2">
        <v>2654.62</v>
      </c>
      <c r="E7" s="9">
        <v>0</v>
      </c>
      <c r="G7" s="2">
        <f>SUMIFS(Logbook!$E$1:$E$696,Logbook!$A$1:$A$696,DashBoard!G$4,Logbook!$C$1:$C$696,DashBoard!$B7)</f>
        <v>7203.2300000000005</v>
      </c>
      <c r="H7" s="2">
        <f>SUMIFS(Logbook!$E$1:$E$696,Logbook!$A$1:$A$696,DashBoard!H$4,Logbook!$C$1:$C$696,DashBoard!$B7)</f>
        <v>0</v>
      </c>
      <c r="I7" s="2">
        <f>SUMIFS(Logbook!$E$1:$E$696,Logbook!$A$1:$A$696,DashBoard!I$4,Logbook!$C$1:$C$696,DashBoard!$B7)</f>
        <v>0</v>
      </c>
      <c r="J7" s="2">
        <f>SUMIFS(Logbook!$E$1:$E$696,Logbook!$A$1:$A$696,DashBoard!J$4,Logbook!$C$1:$C$696,DashBoard!$B7)</f>
        <v>0</v>
      </c>
      <c r="K7" s="2">
        <f>SUMIFS(Logbook!$E$1:$E$696,Logbook!$A$1:$A$696,DashBoard!K$4,Logbook!$C$1:$C$696,DashBoard!$B7)</f>
        <v>0</v>
      </c>
      <c r="L7" s="2">
        <f>SUMIFS(Logbook!$E$1:$E$696,Logbook!$A$1:$A$696,DashBoard!L$4,Logbook!$C$1:$C$696,DashBoard!$B7)</f>
        <v>0</v>
      </c>
      <c r="M7" s="2">
        <f>SUMIFS(Logbook!$E$1:$E$696,Logbook!$A$1:$A$696,DashBoard!M$4,Logbook!$C$1:$C$696,DashBoard!$B7)</f>
        <v>0</v>
      </c>
      <c r="N7" s="2">
        <f>SUMIFS(Logbook!$E$1:$E$696,Logbook!$A$1:$A$696,DashBoard!N$4,Logbook!$C$1:$C$696,DashBoard!$B7)</f>
        <v>0</v>
      </c>
      <c r="O7" s="2">
        <f>SUMIFS(Logbook!$E$1:$E$696,Logbook!$A$1:$A$696,DashBoard!O$4,Logbook!$C$1:$C$696,DashBoard!$B7)</f>
        <v>0</v>
      </c>
      <c r="P7" s="2">
        <f>SUMIFS(Logbook!$E$1:$E$696,Logbook!$A$1:$A$696,DashBoard!P$4,Logbook!$C$1:$C$696,DashBoard!$B7)</f>
        <v>0</v>
      </c>
      <c r="Q7" s="2">
        <f>SUMIFS(Logbook!$E$1:$E$696,Logbook!$A$1:$A$696,DashBoard!Q$4,Logbook!$C$1:$C$696,DashBoard!$B7)</f>
        <v>0</v>
      </c>
      <c r="R7" s="2">
        <f>SUMIFS(Logbook!$E$1:$E$696,Logbook!$A$1:$A$696,DashBoard!R$4,Logbook!$C$1:$C$696,DashBoard!$B7)</f>
        <v>0</v>
      </c>
      <c r="S7" s="77">
        <f t="shared" si="0"/>
        <v>7203.2300000000005</v>
      </c>
      <c r="T7" s="12"/>
    </row>
    <row r="8" spans="1:20">
      <c r="A8" s="4"/>
      <c r="B8" s="74" t="s">
        <v>100</v>
      </c>
      <c r="C8" s="2">
        <f>SUMIFS(Logbook!E$1:E$696, Logbook!A$1:A$696, DashBoard!$C$3, Logbook!C$1:C$696, DashBoard!B8)</f>
        <v>0</v>
      </c>
      <c r="D8" s="2">
        <v>0</v>
      </c>
      <c r="E8" s="9">
        <v>0</v>
      </c>
      <c r="G8" s="2">
        <f>SUMIFS(Logbook!$E$1:$E$696,Logbook!$A$1:$A$696,DashBoard!G$4,Logbook!$C$1:$C$696,DashBoard!$B8)</f>
        <v>0.21</v>
      </c>
      <c r="H8" s="2">
        <f>SUMIFS(Logbook!$E$1:$E$696,Logbook!$A$1:$A$696,DashBoard!H$4,Logbook!$C$1:$C$696,DashBoard!$B8)</f>
        <v>0</v>
      </c>
      <c r="I8" s="2">
        <f>SUMIFS(Logbook!$E$1:$E$696,Logbook!$A$1:$A$696,DashBoard!I$4,Logbook!$C$1:$C$696,DashBoard!$B8)</f>
        <v>0</v>
      </c>
      <c r="J8" s="2">
        <f>SUMIFS(Logbook!$E$1:$E$696,Logbook!$A$1:$A$696,DashBoard!J$4,Logbook!$C$1:$C$696,DashBoard!$B8)</f>
        <v>0</v>
      </c>
      <c r="K8" s="2">
        <f>SUMIFS(Logbook!$E$1:$E$696,Logbook!$A$1:$A$696,DashBoard!K$4,Logbook!$C$1:$C$696,DashBoard!$B8)</f>
        <v>0</v>
      </c>
      <c r="L8" s="2">
        <f>SUMIFS(Logbook!$E$1:$E$696,Logbook!$A$1:$A$696,DashBoard!L$4,Logbook!$C$1:$C$696,DashBoard!$B8)</f>
        <v>0</v>
      </c>
      <c r="M8" s="2">
        <f>SUMIFS(Logbook!$E$1:$E$696,Logbook!$A$1:$A$696,DashBoard!M$4,Logbook!$C$1:$C$696,DashBoard!$B8)</f>
        <v>0</v>
      </c>
      <c r="N8" s="2">
        <f>SUMIFS(Logbook!$E$1:$E$696,Logbook!$A$1:$A$696,DashBoard!N$4,Logbook!$C$1:$C$696,DashBoard!$B8)</f>
        <v>0</v>
      </c>
      <c r="O8" s="2">
        <f>SUMIFS(Logbook!$E$1:$E$696,Logbook!$A$1:$A$696,DashBoard!O$4,Logbook!$C$1:$C$696,DashBoard!$B8)</f>
        <v>0</v>
      </c>
      <c r="P8" s="2">
        <f>SUMIFS(Logbook!$E$1:$E$696,Logbook!$A$1:$A$696,DashBoard!P$4,Logbook!$C$1:$C$696,DashBoard!$B8)</f>
        <v>0</v>
      </c>
      <c r="Q8" s="2">
        <f>SUMIFS(Logbook!$E$1:$E$696,Logbook!$A$1:$A$696,DashBoard!Q$4,Logbook!$C$1:$C$696,DashBoard!$B8)</f>
        <v>0</v>
      </c>
      <c r="R8" s="2">
        <f>SUMIFS(Logbook!$E$1:$E$696,Logbook!$A$1:$A$696,DashBoard!R$4,Logbook!$C$1:$C$696,DashBoard!$B8)</f>
        <v>0</v>
      </c>
      <c r="S8" s="77"/>
      <c r="T8" s="12"/>
    </row>
    <row r="9" spans="1:20">
      <c r="A9" s="4"/>
      <c r="B9" s="74" t="s">
        <v>42</v>
      </c>
      <c r="C9" s="2">
        <f>SUMIFS(Logbook!E$1:E$696, Logbook!A$1:A$696, DashBoard!$C$3, Logbook!C$1:C$696, DashBoard!B9)</f>
        <v>140</v>
      </c>
      <c r="D9" s="2">
        <v>0</v>
      </c>
      <c r="E9" s="9">
        <v>0</v>
      </c>
      <c r="G9" s="2">
        <f>SUMIFS(Logbook!$E$1:$E$696,Logbook!$A$1:$A$696,DashBoard!G$4,Logbook!$C$1:$C$696,DashBoard!$B9)</f>
        <v>346.89</v>
      </c>
      <c r="H9" s="2">
        <f>SUMIFS(Logbook!$E$1:$E$696,Logbook!$A$1:$A$696,DashBoard!H$4,Logbook!$C$1:$C$696,DashBoard!$B9)</f>
        <v>140</v>
      </c>
      <c r="I9" s="2">
        <f>SUMIFS(Logbook!$E$1:$E$696,Logbook!$A$1:$A$696,DashBoard!I$4,Logbook!$C$1:$C$696,DashBoard!$B9)</f>
        <v>0</v>
      </c>
      <c r="J9" s="2">
        <f>SUMIFS(Logbook!$E$1:$E$696,Logbook!$A$1:$A$696,DashBoard!J$4,Logbook!$C$1:$C$696,DashBoard!$B9)</f>
        <v>0</v>
      </c>
      <c r="K9" s="2">
        <f>SUMIFS(Logbook!$E$1:$E$696,Logbook!$A$1:$A$696,DashBoard!K$4,Logbook!$C$1:$C$696,DashBoard!$B9)</f>
        <v>0</v>
      </c>
      <c r="L9" s="2">
        <f>SUMIFS(Logbook!$E$1:$E$696,Logbook!$A$1:$A$696,DashBoard!L$4,Logbook!$C$1:$C$696,DashBoard!$B9)</f>
        <v>0</v>
      </c>
      <c r="M9" s="2">
        <f>SUMIFS(Logbook!$E$1:$E$696,Logbook!$A$1:$A$696,DashBoard!M$4,Logbook!$C$1:$C$696,DashBoard!$B9)</f>
        <v>0</v>
      </c>
      <c r="N9" s="2">
        <f>SUMIFS(Logbook!$E$1:$E$696,Logbook!$A$1:$A$696,DashBoard!N$4,Logbook!$C$1:$C$696,DashBoard!$B9)</f>
        <v>0</v>
      </c>
      <c r="O9" s="2">
        <f>SUMIFS(Logbook!$E$1:$E$696,Logbook!$A$1:$A$696,DashBoard!O$4,Logbook!$C$1:$C$696,DashBoard!$B9)</f>
        <v>0</v>
      </c>
      <c r="P9" s="2">
        <f>SUMIFS(Logbook!$E$1:$E$696,Logbook!$A$1:$A$696,DashBoard!P$4,Logbook!$C$1:$C$696,DashBoard!$B9)</f>
        <v>0</v>
      </c>
      <c r="Q9" s="2">
        <f>SUMIFS(Logbook!$E$1:$E$696,Logbook!$A$1:$A$696,DashBoard!Q$4,Logbook!$C$1:$C$696,DashBoard!$B9)</f>
        <v>0</v>
      </c>
      <c r="R9" s="2">
        <f>SUMIFS(Logbook!$E$1:$E$696,Logbook!$A$1:$A$696,DashBoard!R$4,Logbook!$C$1:$C$696,DashBoard!$B9)</f>
        <v>0</v>
      </c>
      <c r="S9" s="77">
        <f t="shared" ref="S9" si="1">SUM(G9:R9)</f>
        <v>486.89</v>
      </c>
      <c r="T9" s="12"/>
    </row>
    <row r="10" spans="1:20">
      <c r="A10" s="4"/>
      <c r="B10" s="31"/>
      <c r="C10" s="2">
        <f>SUMIFS(Logbook!E$1:E$696, Logbook!A$1:A$696, DashBoard!$C$3, Logbook!C$1:C$696, DashBoard!B10)</f>
        <v>0</v>
      </c>
      <c r="D10" s="2">
        <v>0</v>
      </c>
      <c r="E10" s="9">
        <v>0</v>
      </c>
      <c r="G10" s="2">
        <f>SUMIFS(Logbook!$E$1:$E$696,Logbook!$A$1:$A$696,DashBoard!G$4,Logbook!$C$1:$C$696,DashBoard!$B10)</f>
        <v>0</v>
      </c>
      <c r="H10" s="2">
        <f>SUMIFS(Logbook!$E$1:$E$696,Logbook!$A$1:$A$696,DashBoard!H$4,Logbook!$C$1:$C$696,DashBoard!$B10)</f>
        <v>0</v>
      </c>
      <c r="I10" s="2">
        <f>SUMIFS(Logbook!$E$1:$E$696,Logbook!$A$1:$A$696,DashBoard!I$4,Logbook!$C$1:$C$696,DashBoard!$B10)</f>
        <v>0</v>
      </c>
      <c r="J10" s="2">
        <f>SUMIFS(Logbook!$E$1:$E$696,Logbook!$A$1:$A$696,DashBoard!J$4,Logbook!$C$1:$C$696,DashBoard!$B10)</f>
        <v>0</v>
      </c>
      <c r="K10" s="2">
        <f>SUMIFS(Logbook!$E$1:$E$696,Logbook!$A$1:$A$696,DashBoard!K$4,Logbook!$C$1:$C$696,DashBoard!$B10)</f>
        <v>0</v>
      </c>
      <c r="L10" s="2">
        <f>SUMIFS(Logbook!$E$1:$E$696,Logbook!$A$1:$A$696,DashBoard!L$4,Logbook!$C$1:$C$696,DashBoard!$B10)</f>
        <v>0</v>
      </c>
      <c r="M10" s="2">
        <f>SUMIFS(Logbook!$E$1:$E$696,Logbook!$A$1:$A$696,DashBoard!M$4,Logbook!$C$1:$C$696,DashBoard!$B10)</f>
        <v>0</v>
      </c>
      <c r="N10" s="2">
        <f>SUMIFS(Logbook!$E$1:$E$696,Logbook!$A$1:$A$696,DashBoard!N$4,Logbook!$C$1:$C$696,DashBoard!$B10)</f>
        <v>0</v>
      </c>
      <c r="O10" s="2">
        <f>SUMIFS(Logbook!$E$1:$E$696,Logbook!$A$1:$A$696,DashBoard!O$4,Logbook!$C$1:$C$696,DashBoard!$B10)</f>
        <v>0</v>
      </c>
      <c r="P10" s="2">
        <f>SUMIFS(Logbook!$E$1:$E$696,Logbook!$A$1:$A$696,DashBoard!P$4,Logbook!$C$1:$C$696,DashBoard!$B10)</f>
        <v>0</v>
      </c>
      <c r="Q10" s="2">
        <f>SUMIFS(Logbook!$E$1:$E$696,Logbook!$A$1:$A$696,DashBoard!Q$4,Logbook!$C$1:$C$696,DashBoard!$B10)</f>
        <v>0</v>
      </c>
      <c r="R10" s="2">
        <f>SUMIFS(Logbook!$E$1:$E$696,Logbook!$A$1:$A$696,DashBoard!R$4,Logbook!$C$1:$C$696,DashBoard!$B10)</f>
        <v>0</v>
      </c>
      <c r="S10" s="77">
        <f t="shared" si="0"/>
        <v>0</v>
      </c>
      <c r="T10" s="12"/>
    </row>
    <row r="11" spans="1:20">
      <c r="A11" s="4"/>
      <c r="B11" s="35" t="s">
        <v>158</v>
      </c>
      <c r="C11" s="37">
        <f>SUM(C5:C6)</f>
        <v>3944.27</v>
      </c>
      <c r="D11" s="37">
        <f>SUM(D5:D7)</f>
        <v>10543.16</v>
      </c>
      <c r="E11" s="38">
        <f t="shared" ref="E11" si="2">C11</f>
        <v>3944.27</v>
      </c>
      <c r="F11" s="36"/>
      <c r="G11" s="77">
        <f t="shared" ref="G11:R11" si="3">SUM(G5:G10)</f>
        <v>17472.919999999998</v>
      </c>
      <c r="H11" s="77">
        <f t="shared" si="3"/>
        <v>4084.27</v>
      </c>
      <c r="I11" s="77">
        <f t="shared" si="3"/>
        <v>0</v>
      </c>
      <c r="J11" s="77">
        <f t="shared" si="3"/>
        <v>0</v>
      </c>
      <c r="K11" s="77">
        <f t="shared" si="3"/>
        <v>0</v>
      </c>
      <c r="L11" s="77">
        <f t="shared" si="3"/>
        <v>0</v>
      </c>
      <c r="M11" s="77">
        <f t="shared" si="3"/>
        <v>0</v>
      </c>
      <c r="N11" s="77">
        <f t="shared" si="3"/>
        <v>0</v>
      </c>
      <c r="O11" s="77">
        <f t="shared" si="3"/>
        <v>0</v>
      </c>
      <c r="P11" s="77">
        <f t="shared" si="3"/>
        <v>0</v>
      </c>
      <c r="Q11" s="77">
        <f t="shared" si="3"/>
        <v>0</v>
      </c>
      <c r="R11" s="78">
        <f t="shared" si="3"/>
        <v>0</v>
      </c>
      <c r="S11" s="77">
        <f t="shared" si="0"/>
        <v>21557.19</v>
      </c>
      <c r="T11" s="12"/>
    </row>
    <row r="12" spans="1:20">
      <c r="A12" s="4"/>
      <c r="B12" s="70" t="s">
        <v>159</v>
      </c>
      <c r="C12" s="70" t="s">
        <v>10</v>
      </c>
      <c r="D12" s="70" t="s">
        <v>145</v>
      </c>
      <c r="E12" s="70" t="s">
        <v>146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73"/>
      <c r="S12" s="12"/>
      <c r="T12" s="12"/>
    </row>
    <row r="13" spans="1:20">
      <c r="A13" s="4"/>
      <c r="B13" s="35" t="s">
        <v>159</v>
      </c>
      <c r="C13" s="35" t="s">
        <v>10</v>
      </c>
      <c r="D13" s="35" t="s">
        <v>145</v>
      </c>
      <c r="E13" s="35" t="s">
        <v>146</v>
      </c>
      <c r="F13" s="36"/>
      <c r="G13" s="35" t="s">
        <v>147</v>
      </c>
      <c r="H13" s="35" t="s">
        <v>9</v>
      </c>
      <c r="I13" s="35" t="s">
        <v>148</v>
      </c>
      <c r="J13" s="35" t="s">
        <v>149</v>
      </c>
      <c r="K13" s="35" t="s">
        <v>150</v>
      </c>
      <c r="L13" s="35" t="s">
        <v>151</v>
      </c>
      <c r="M13" s="35" t="s">
        <v>152</v>
      </c>
      <c r="N13" s="35" t="s">
        <v>153</v>
      </c>
      <c r="O13" s="35" t="s">
        <v>154</v>
      </c>
      <c r="P13" s="35" t="s">
        <v>155</v>
      </c>
      <c r="Q13" s="35" t="s">
        <v>156</v>
      </c>
      <c r="R13" s="39" t="s">
        <v>157</v>
      </c>
      <c r="S13" s="35" t="s">
        <v>10</v>
      </c>
      <c r="T13" s="12"/>
    </row>
    <row r="14" spans="1:20">
      <c r="A14" s="4"/>
      <c r="B14" s="74" t="s">
        <v>17</v>
      </c>
      <c r="C14" s="32">
        <f>SUMIFS(Logbook!$F$1:$F$696,Logbook!$A$1:$A$696,DashBoard!C$3,Logbook!$D$1:$D$696,DashBoard!$B14)</f>
        <v>1050</v>
      </c>
      <c r="D14" s="32">
        <v>1050</v>
      </c>
      <c r="E14" s="9">
        <f t="shared" ref="E14:E28" si="4">SUM(D14-C14)</f>
        <v>0</v>
      </c>
      <c r="G14" s="2">
        <f>SUMIFS(Logbook!$F$1:$F$696,Logbook!$A$1:$A$696,DashBoard!G$4,Logbook!$D$1:$D$696,DashBoard!$B14)</f>
        <v>1050</v>
      </c>
      <c r="H14" s="2">
        <f>SUMIFS(Logbook!$F$1:$F$696,Logbook!$A$1:$A$696,DashBoard!H$4,Logbook!$D$1:$D$696,DashBoard!$B14)</f>
        <v>1050</v>
      </c>
      <c r="I14" s="2">
        <f>SUMIFS(Logbook!$F$1:$F$696,Logbook!$A$1:$A$696,DashBoard!I$4,Logbook!$D$1:$D$696,DashBoard!$B14)</f>
        <v>0</v>
      </c>
      <c r="J14" s="2">
        <f>SUMIFS(Logbook!$F$1:$F$696,Logbook!$A$1:$A$696,DashBoard!J$4,Logbook!$D$1:$D$696,DashBoard!$B14)</f>
        <v>0</v>
      </c>
      <c r="K14" s="2">
        <f>SUMIFS(Logbook!$F$1:$F$696,Logbook!$A$1:$A$696,DashBoard!K$4,Logbook!$D$1:$D$696,DashBoard!$B14)</f>
        <v>0</v>
      </c>
      <c r="L14" s="2">
        <f>SUMIFS(Logbook!$F$1:$F$696,Logbook!$A$1:$A$696,DashBoard!L$4,Logbook!$D$1:$D$696,DashBoard!$B14)</f>
        <v>0</v>
      </c>
      <c r="M14" s="2">
        <f>SUMIFS(Logbook!$F$1:$F$696,Logbook!$A$1:$A$696,DashBoard!M$4,Logbook!$D$1:$D$696,DashBoard!$B14)</f>
        <v>0</v>
      </c>
      <c r="N14" s="2">
        <f>SUMIFS(Logbook!$F$1:$F$696,Logbook!$A$1:$A$696,DashBoard!N$4,Logbook!$D$1:$D$696,DashBoard!$B14)</f>
        <v>0</v>
      </c>
      <c r="O14" s="2">
        <f>SUMIFS(Logbook!$F$1:$F$696,Logbook!$A$1:$A$696,DashBoard!O$4,Logbook!$D$1:$D$696,DashBoard!$B14)</f>
        <v>0</v>
      </c>
      <c r="P14" s="2">
        <f>SUMIFS(Logbook!$F$1:$F$696,Logbook!$A$1:$A$696,DashBoard!P$4,Logbook!$D$1:$D$696,DashBoard!$B14)</f>
        <v>0</v>
      </c>
      <c r="Q14" s="2">
        <f>SUMIFS(Logbook!$F$1:$F$696,Logbook!$A$1:$A$696,DashBoard!Q$4,Logbook!$D$1:$D$696,DashBoard!$B14)</f>
        <v>0</v>
      </c>
      <c r="R14" s="2">
        <f>SUMIFS(Logbook!$F$1:$F$696,Logbook!$A$1:$A$696,DashBoard!R$4,Logbook!$D$1:$D$696,DashBoard!$B14)</f>
        <v>0</v>
      </c>
      <c r="S14" s="79">
        <f>SUM(G14:R14)</f>
        <v>2100</v>
      </c>
      <c r="T14" s="12"/>
    </row>
    <row r="15" spans="1:20">
      <c r="A15" s="4"/>
      <c r="B15" s="74" t="s">
        <v>20</v>
      </c>
      <c r="C15" s="32">
        <f>SUMIFS(Logbook!F$1:F$696,Logbook!A$1:A$696,DashBoard!$C$3,Logbook!D$1:D$696,DashBoard!B15)</f>
        <v>0</v>
      </c>
      <c r="D15" s="32">
        <v>2100</v>
      </c>
      <c r="E15" s="9">
        <f t="shared" si="4"/>
        <v>2100</v>
      </c>
      <c r="G15" s="2">
        <f>SUMIFS(Logbook!$F$1:$F$696,Logbook!$A$1:$A$696,DashBoard!G$4,Logbook!$D$1:$D$696,DashBoard!$B15)</f>
        <v>2100</v>
      </c>
      <c r="H15" s="2">
        <f>SUMIFS(Logbook!$F$1:$F$696,Logbook!$A$1:$A$696,DashBoard!H$4,Logbook!$D$1:$D$696,DashBoard!$B15)</f>
        <v>0</v>
      </c>
      <c r="I15" s="2">
        <f>SUMIFS(Logbook!$F$1:$F$696,Logbook!$A$1:$A$696,DashBoard!I$4,Logbook!$D$1:$D$696,DashBoard!$B15)</f>
        <v>0</v>
      </c>
      <c r="J15" s="2">
        <f>SUMIFS(Logbook!$F$1:$F$696,Logbook!$A$1:$A$696,DashBoard!J$4,Logbook!$D$1:$D$696,DashBoard!$B15)</f>
        <v>0</v>
      </c>
      <c r="K15" s="2">
        <f>SUMIFS(Logbook!$F$1:$F$696,Logbook!$A$1:$A$696,DashBoard!K$4,Logbook!$D$1:$D$696,DashBoard!$B15)</f>
        <v>0</v>
      </c>
      <c r="L15" s="2">
        <f>SUMIFS(Logbook!$F$1:$F$696,Logbook!$A$1:$A$696,DashBoard!L$4,Logbook!$D$1:$D$696,DashBoard!$B15)</f>
        <v>0</v>
      </c>
      <c r="M15" s="2">
        <f>SUMIFS(Logbook!$F$1:$F$696,Logbook!$A$1:$A$696,DashBoard!M$4,Logbook!$D$1:$D$696,DashBoard!$B15)</f>
        <v>0</v>
      </c>
      <c r="N15" s="2">
        <f>SUMIFS(Logbook!$F$1:$F$696,Logbook!$A$1:$A$696,DashBoard!N$4,Logbook!$D$1:$D$696,DashBoard!$B15)</f>
        <v>0</v>
      </c>
      <c r="O15" s="2">
        <f>SUMIFS(Logbook!$F$1:$F$696,Logbook!$A$1:$A$696,DashBoard!O$4,Logbook!$D$1:$D$696,DashBoard!$B15)</f>
        <v>0</v>
      </c>
      <c r="P15" s="2">
        <f>SUMIFS(Logbook!$F$1:$F$696,Logbook!$A$1:$A$696,DashBoard!P$4,Logbook!$D$1:$D$696,DashBoard!$B15)</f>
        <v>0</v>
      </c>
      <c r="Q15" s="2">
        <f>SUMIFS(Logbook!$F$1:$F$696,Logbook!$A$1:$A$696,DashBoard!Q$4,Logbook!$D$1:$D$696,DashBoard!$B15)</f>
        <v>0</v>
      </c>
      <c r="R15" s="2">
        <f>SUMIFS(Logbook!$F$1:$F$696,Logbook!$A$1:$A$696,DashBoard!R$4,Logbook!$D$1:$D$696,DashBoard!$B15)</f>
        <v>0</v>
      </c>
      <c r="S15" s="83">
        <f t="shared" ref="S15:S31" si="5">SUM(G15:R15)</f>
        <v>2100</v>
      </c>
      <c r="T15" s="12"/>
    </row>
    <row r="16" spans="1:20">
      <c r="A16" s="4"/>
      <c r="B16" s="74" t="s">
        <v>22</v>
      </c>
      <c r="C16" s="32">
        <f>SUMIFS(Logbook!F$1:F$696,Logbook!A$1:A$696,DashBoard!$C$3,Logbook!D$1:D$696,DashBoard!B16)</f>
        <v>0</v>
      </c>
      <c r="D16" s="32">
        <v>614</v>
      </c>
      <c r="E16" s="9">
        <f t="shared" si="4"/>
        <v>614</v>
      </c>
      <c r="G16" s="2">
        <f>SUMIFS(Logbook!$F$1:$F$696,Logbook!$A$1:$A$696,DashBoard!G$4,Logbook!$D$1:$D$696,DashBoard!$B16)</f>
        <v>614</v>
      </c>
      <c r="H16" s="2">
        <f>SUMIFS(Logbook!$F$1:$F$696,Logbook!$A$1:$A$696,DashBoard!H$4,Logbook!$D$1:$D$696,DashBoard!$B16)</f>
        <v>0</v>
      </c>
      <c r="I16" s="2">
        <f>SUMIFS(Logbook!$F$1:$F$696,Logbook!$A$1:$A$696,DashBoard!I$4,Logbook!$D$1:$D$696,DashBoard!$B16)</f>
        <v>0</v>
      </c>
      <c r="J16" s="2">
        <f>SUMIFS(Logbook!$F$1:$F$696,Logbook!$A$1:$A$696,DashBoard!J$4,Logbook!$D$1:$D$696,DashBoard!$B16)</f>
        <v>0</v>
      </c>
      <c r="K16" s="2">
        <f>SUMIFS(Logbook!$F$1:$F$696,Logbook!$A$1:$A$696,DashBoard!K$4,Logbook!$D$1:$D$696,DashBoard!$B16)</f>
        <v>0</v>
      </c>
      <c r="L16" s="2">
        <f>SUMIFS(Logbook!$F$1:$F$696,Logbook!$A$1:$A$696,DashBoard!L$4,Logbook!$D$1:$D$696,DashBoard!$B16)</f>
        <v>0</v>
      </c>
      <c r="M16" s="2">
        <f>SUMIFS(Logbook!$F$1:$F$696,Logbook!$A$1:$A$696,DashBoard!M$4,Logbook!$D$1:$D$696,DashBoard!$B16)</f>
        <v>0</v>
      </c>
      <c r="N16" s="2">
        <f>SUMIFS(Logbook!$F$1:$F$696,Logbook!$A$1:$A$696,DashBoard!N$4,Logbook!$D$1:$D$696,DashBoard!$B16)</f>
        <v>0</v>
      </c>
      <c r="O16" s="2">
        <f>SUMIFS(Logbook!$F$1:$F$696,Logbook!$A$1:$A$696,DashBoard!O$4,Logbook!$D$1:$D$696,DashBoard!$B16)</f>
        <v>0</v>
      </c>
      <c r="P16" s="2">
        <f>SUMIFS(Logbook!$F$1:$F$696,Logbook!$A$1:$A$696,DashBoard!P$4,Logbook!$D$1:$D$696,DashBoard!$B16)</f>
        <v>0</v>
      </c>
      <c r="Q16" s="2">
        <f>SUMIFS(Logbook!$F$1:$F$696,Logbook!$A$1:$A$696,DashBoard!Q$4,Logbook!$D$1:$D$696,DashBoard!$B16)</f>
        <v>0</v>
      </c>
      <c r="R16" s="2">
        <f>SUMIFS(Logbook!$F$1:$F$696,Logbook!$A$1:$A$696,DashBoard!R$4,Logbook!$D$1:$D$696,DashBoard!$B16)</f>
        <v>0</v>
      </c>
      <c r="S16" s="83">
        <f t="shared" si="5"/>
        <v>614</v>
      </c>
      <c r="T16" s="12"/>
    </row>
    <row r="17" spans="1:20">
      <c r="A17" s="4"/>
      <c r="B17" s="74" t="s">
        <v>24</v>
      </c>
      <c r="C17" s="32">
        <f>SUMIFS(Logbook!F$1:F$696,Logbook!A$1:A$696,DashBoard!$C$3,Logbook!D$1:D$696,DashBoard!B17)</f>
        <v>2735.72</v>
      </c>
      <c r="D17" s="32">
        <v>2736</v>
      </c>
      <c r="E17" s="9">
        <f t="shared" si="4"/>
        <v>0.28000000000020009</v>
      </c>
      <c r="G17" s="2">
        <f>SUMIFS(Logbook!$F$1:$F$696,Logbook!$A$1:$A$696,DashBoard!G$4,Logbook!$D$1:$D$696,DashBoard!$B17)</f>
        <v>2735.72</v>
      </c>
      <c r="H17" s="2">
        <f>SUMIFS(Logbook!$F$1:$F$696,Logbook!$A$1:$A$696,DashBoard!H$4,Logbook!$D$1:$D$696,DashBoard!$B17)</f>
        <v>2735.72</v>
      </c>
      <c r="I17" s="2">
        <f>SUMIFS(Logbook!$F$1:$F$696,Logbook!$A$1:$A$696,DashBoard!I$4,Logbook!$D$1:$D$696,DashBoard!$B17)</f>
        <v>0</v>
      </c>
      <c r="J17" s="2">
        <f>SUMIFS(Logbook!$F$1:$F$696,Logbook!$A$1:$A$696,DashBoard!J$4,Logbook!$D$1:$D$696,DashBoard!$B17)</f>
        <v>0</v>
      </c>
      <c r="K17" s="2">
        <f>SUMIFS(Logbook!$F$1:$F$696,Logbook!$A$1:$A$696,DashBoard!K$4,Logbook!$D$1:$D$696,DashBoard!$B17)</f>
        <v>0</v>
      </c>
      <c r="L17" s="2">
        <f>SUMIFS(Logbook!$F$1:$F$696,Logbook!$A$1:$A$696,DashBoard!L$4,Logbook!$D$1:$D$696,DashBoard!$B17)</f>
        <v>0</v>
      </c>
      <c r="M17" s="2">
        <f>SUMIFS(Logbook!$F$1:$F$696,Logbook!$A$1:$A$696,DashBoard!M$4,Logbook!$D$1:$D$696,DashBoard!$B17)</f>
        <v>0</v>
      </c>
      <c r="N17" s="2">
        <f>SUMIFS(Logbook!$F$1:$F$696,Logbook!$A$1:$A$696,DashBoard!N$4,Logbook!$D$1:$D$696,DashBoard!$B17)</f>
        <v>0</v>
      </c>
      <c r="O17" s="2">
        <f>SUMIFS(Logbook!$F$1:$F$696,Logbook!$A$1:$A$696,DashBoard!O$4,Logbook!$D$1:$D$696,DashBoard!$B17)</f>
        <v>0</v>
      </c>
      <c r="P17" s="2">
        <f>SUMIFS(Logbook!$F$1:$F$696,Logbook!$A$1:$A$696,DashBoard!P$4,Logbook!$D$1:$D$696,DashBoard!$B17)</f>
        <v>0</v>
      </c>
      <c r="Q17" s="2">
        <f>SUMIFS(Logbook!$F$1:$F$696,Logbook!$A$1:$A$696,DashBoard!Q$4,Logbook!$D$1:$D$696,DashBoard!$B17)</f>
        <v>0</v>
      </c>
      <c r="R17" s="2">
        <f>SUMIFS(Logbook!$F$1:$F$696,Logbook!$A$1:$A$696,DashBoard!R$4,Logbook!$D$1:$D$696,DashBoard!$B17)</f>
        <v>0</v>
      </c>
      <c r="S17" s="79">
        <f t="shared" si="5"/>
        <v>5471.44</v>
      </c>
      <c r="T17" s="4"/>
    </row>
    <row r="18" spans="1:20">
      <c r="A18" s="4"/>
      <c r="B18" s="74" t="s">
        <v>26</v>
      </c>
      <c r="C18" s="32">
        <f>SUMIFS(Logbook!F$1:F$696,Logbook!A$1:A$696,DashBoard!$C$3,Logbook!D$1:D$696,DashBoard!B18)</f>
        <v>837.75</v>
      </c>
      <c r="D18" s="32">
        <v>930</v>
      </c>
      <c r="E18" s="9">
        <f t="shared" si="4"/>
        <v>92.25</v>
      </c>
      <c r="G18" s="2">
        <f>SUMIFS(Logbook!$F$1:$F$696,Logbook!$A$1:$A$696,DashBoard!G$4,Logbook!$D$1:$D$696,DashBoard!$B18)</f>
        <v>672.83000000000015</v>
      </c>
      <c r="H18" s="2">
        <f>SUMIFS(Logbook!$F$1:$F$696,Logbook!$A$1:$A$696,DashBoard!H$4,Logbook!$D$1:$D$696,DashBoard!$B18)</f>
        <v>837.75</v>
      </c>
      <c r="I18" s="2">
        <f>SUMIFS(Logbook!$F$1:$F$696,Logbook!$A$1:$A$696,DashBoard!I$4,Logbook!$D$1:$D$696,DashBoard!$B18)</f>
        <v>0</v>
      </c>
      <c r="J18" s="2">
        <f>SUMIFS(Logbook!$F$1:$F$696,Logbook!$A$1:$A$696,DashBoard!J$4,Logbook!$D$1:$D$696,DashBoard!$B18)</f>
        <v>0</v>
      </c>
      <c r="K18" s="2">
        <f>SUMIFS(Logbook!$F$1:$F$696,Logbook!$A$1:$A$696,DashBoard!K$4,Logbook!$D$1:$D$696,DashBoard!$B18)</f>
        <v>0</v>
      </c>
      <c r="L18" s="2">
        <f>SUMIFS(Logbook!$F$1:$F$696,Logbook!$A$1:$A$696,DashBoard!L$4,Logbook!$D$1:$D$696,DashBoard!$B18)</f>
        <v>0</v>
      </c>
      <c r="M18" s="2">
        <f>SUMIFS(Logbook!$F$1:$F$696,Logbook!$A$1:$A$696,DashBoard!M$4,Logbook!$D$1:$D$696,DashBoard!$B18)</f>
        <v>0</v>
      </c>
      <c r="N18" s="2">
        <f>SUMIFS(Logbook!$F$1:$F$696,Logbook!$A$1:$A$696,DashBoard!N$4,Logbook!$D$1:$D$696,DashBoard!$B18)</f>
        <v>0</v>
      </c>
      <c r="O18" s="2">
        <f>SUMIFS(Logbook!$F$1:$F$696,Logbook!$A$1:$A$696,DashBoard!O$4,Logbook!$D$1:$D$696,DashBoard!$B18)</f>
        <v>0</v>
      </c>
      <c r="P18" s="2">
        <f>SUMIFS(Logbook!$F$1:$F$696,Logbook!$A$1:$A$696,DashBoard!P$4,Logbook!$D$1:$D$696,DashBoard!$B18)</f>
        <v>0</v>
      </c>
      <c r="Q18" s="2">
        <f>SUMIFS(Logbook!$F$1:$F$696,Logbook!$A$1:$A$696,DashBoard!Q$4,Logbook!$D$1:$D$696,DashBoard!$B18)</f>
        <v>0</v>
      </c>
      <c r="R18" s="2">
        <f>SUMIFS(Logbook!$F$1:$F$696,Logbook!$A$1:$A$696,DashBoard!R$4,Logbook!$D$1:$D$696,DashBoard!$B18)</f>
        <v>0</v>
      </c>
      <c r="S18" s="79">
        <f t="shared" si="5"/>
        <v>1510.5800000000002</v>
      </c>
      <c r="T18" s="4"/>
    </row>
    <row r="19" spans="1:20">
      <c r="A19" s="4"/>
      <c r="B19" s="74" t="s">
        <v>28</v>
      </c>
      <c r="C19" s="32">
        <f>SUMIFS(Logbook!F$1:F$696,Logbook!A$1:A$696,DashBoard!$C$3,Logbook!D$1:D$696,DashBoard!B19)</f>
        <v>531.91</v>
      </c>
      <c r="D19" s="32">
        <v>870</v>
      </c>
      <c r="E19" s="9">
        <f t="shared" si="4"/>
        <v>338.09000000000003</v>
      </c>
      <c r="G19" s="2">
        <f>SUMIFS(Logbook!$F$1:$F$696,Logbook!$A$1:$A$696,DashBoard!G$4,Logbook!$D$1:$D$696,DashBoard!$B19)</f>
        <v>101.34</v>
      </c>
      <c r="H19" s="2">
        <f>SUMIFS(Logbook!$F$1:$F$696,Logbook!$A$1:$A$696,DashBoard!H$4,Logbook!$D$1:$D$696,DashBoard!$B19)</f>
        <v>531.91</v>
      </c>
      <c r="I19" s="2">
        <f>SUMIFS(Logbook!$F$1:$F$696,Logbook!$A$1:$A$696,DashBoard!I$4,Logbook!$D$1:$D$696,DashBoard!$B19)</f>
        <v>0</v>
      </c>
      <c r="J19" s="2">
        <f>SUMIFS(Logbook!$F$1:$F$696,Logbook!$A$1:$A$696,DashBoard!J$4,Logbook!$D$1:$D$696,DashBoard!$B19)</f>
        <v>0</v>
      </c>
      <c r="K19" s="2">
        <f>SUMIFS(Logbook!$F$1:$F$696,Logbook!$A$1:$A$696,DashBoard!K$4,Logbook!$D$1:$D$696,DashBoard!$B19)</f>
        <v>0</v>
      </c>
      <c r="L19" s="2">
        <f>SUMIFS(Logbook!$F$1:$F$696,Logbook!$A$1:$A$696,DashBoard!L$4,Logbook!$D$1:$D$696,DashBoard!$B19)</f>
        <v>0</v>
      </c>
      <c r="M19" s="2">
        <f>SUMIFS(Logbook!$F$1:$F$696,Logbook!$A$1:$A$696,DashBoard!M$4,Logbook!$D$1:$D$696,DashBoard!$B19)</f>
        <v>0</v>
      </c>
      <c r="N19" s="2">
        <f>SUMIFS(Logbook!$F$1:$F$696,Logbook!$A$1:$A$696,DashBoard!N$4,Logbook!$D$1:$D$696,DashBoard!$B19)</f>
        <v>0</v>
      </c>
      <c r="O19" s="2">
        <f>SUMIFS(Logbook!$F$1:$F$696,Logbook!$A$1:$A$696,DashBoard!O$4,Logbook!$D$1:$D$696,DashBoard!$B19)</f>
        <v>0</v>
      </c>
      <c r="P19" s="2">
        <f>SUMIFS(Logbook!$F$1:$F$696,Logbook!$A$1:$A$696,DashBoard!P$4,Logbook!$D$1:$D$696,DashBoard!$B19)</f>
        <v>0</v>
      </c>
      <c r="Q19" s="2">
        <f>SUMIFS(Logbook!$F$1:$F$696,Logbook!$A$1:$A$696,DashBoard!Q$4,Logbook!$D$1:$D$696,DashBoard!$B19)</f>
        <v>0</v>
      </c>
      <c r="R19" s="2">
        <f>SUMIFS(Logbook!$F$1:$F$696,Logbook!$A$1:$A$696,DashBoard!R$4,Logbook!$D$1:$D$696,DashBoard!$B19)</f>
        <v>0</v>
      </c>
      <c r="S19" s="79">
        <f t="shared" si="5"/>
        <v>633.25</v>
      </c>
      <c r="T19" s="4"/>
    </row>
    <row r="20" spans="1:20">
      <c r="A20" s="4"/>
      <c r="B20" s="74" t="s">
        <v>30</v>
      </c>
      <c r="C20" s="32">
        <f>SUMIFS(Logbook!F$1:F$696,Logbook!A$1:A$696,DashBoard!$C$3,Logbook!D$1:D$696,DashBoard!B20)</f>
        <v>81.459999999999994</v>
      </c>
      <c r="D20" s="32">
        <v>500</v>
      </c>
      <c r="E20" s="9">
        <f t="shared" si="4"/>
        <v>418.54</v>
      </c>
      <c r="G20" s="2">
        <f>SUMIFS(Logbook!$F$1:$F$696,Logbook!$A$1:$A$696,DashBoard!G$4,Logbook!$D$1:$D$696,DashBoard!$B20)</f>
        <v>556.17000000000007</v>
      </c>
      <c r="H20" s="2">
        <f>SUMIFS(Logbook!$F$1:$F$696,Logbook!$A$1:$A$696,DashBoard!H$4,Logbook!$D$1:$D$696,DashBoard!$B20)</f>
        <v>81.459999999999994</v>
      </c>
      <c r="I20" s="2">
        <f>SUMIFS(Logbook!$F$1:$F$696,Logbook!$A$1:$A$696,DashBoard!I$4,Logbook!$D$1:$D$696,DashBoard!$B20)</f>
        <v>0</v>
      </c>
      <c r="J20" s="2">
        <f>SUMIFS(Logbook!$F$1:$F$696,Logbook!$A$1:$A$696,DashBoard!J$4,Logbook!$D$1:$D$696,DashBoard!$B20)</f>
        <v>0</v>
      </c>
      <c r="K20" s="2">
        <f>SUMIFS(Logbook!$F$1:$F$696,Logbook!$A$1:$A$696,DashBoard!K$4,Logbook!$D$1:$D$696,DashBoard!$B20)</f>
        <v>0</v>
      </c>
      <c r="L20" s="2">
        <f>SUMIFS(Logbook!$F$1:$F$696,Logbook!$A$1:$A$696,DashBoard!L$4,Logbook!$D$1:$D$696,DashBoard!$B20)</f>
        <v>0</v>
      </c>
      <c r="M20" s="2">
        <f>SUMIFS(Logbook!$F$1:$F$696,Logbook!$A$1:$A$696,DashBoard!M$4,Logbook!$D$1:$D$696,DashBoard!$B20)</f>
        <v>0</v>
      </c>
      <c r="N20" s="2">
        <f>SUMIFS(Logbook!$F$1:$F$696,Logbook!$A$1:$A$696,DashBoard!N$4,Logbook!$D$1:$D$696,DashBoard!$B20)</f>
        <v>0</v>
      </c>
      <c r="O20" s="2">
        <f>SUMIFS(Logbook!$F$1:$F$696,Logbook!$A$1:$A$696,DashBoard!O$4,Logbook!$D$1:$D$696,DashBoard!$B20)</f>
        <v>0</v>
      </c>
      <c r="P20" s="2">
        <f>SUMIFS(Logbook!$F$1:$F$696,Logbook!$A$1:$A$696,DashBoard!P$4,Logbook!$D$1:$D$696,DashBoard!$B20)</f>
        <v>0</v>
      </c>
      <c r="Q20" s="2">
        <f>SUMIFS(Logbook!$F$1:$F$696,Logbook!$A$1:$A$696,DashBoard!Q$4,Logbook!$D$1:$D$696,DashBoard!$B20)</f>
        <v>0</v>
      </c>
      <c r="R20" s="2">
        <f>SUMIFS(Logbook!$F$1:$F$696,Logbook!$A$1:$A$696,DashBoard!R$4,Logbook!$D$1:$D$696,DashBoard!$B20)</f>
        <v>0</v>
      </c>
      <c r="S20" s="79">
        <f t="shared" si="5"/>
        <v>637.63000000000011</v>
      </c>
      <c r="T20" s="4"/>
    </row>
    <row r="21" spans="1:20">
      <c r="A21" s="4"/>
      <c r="B21" s="74" t="s">
        <v>19</v>
      </c>
      <c r="C21" s="32">
        <f>SUMIFS(Logbook!F$1:F$696,Logbook!A$1:A$696,DashBoard!$C$3,Logbook!D$1:D$696,DashBoard!B21)</f>
        <v>582.70000000000005</v>
      </c>
      <c r="D21" s="32">
        <v>750</v>
      </c>
      <c r="E21" s="9">
        <f t="shared" ref="E21" si="6">SUM(D21-C21)</f>
        <v>167.29999999999995</v>
      </c>
      <c r="G21" s="2">
        <f>SUMIFS(Logbook!$F$1:$F$696,Logbook!$A$1:$A$696,DashBoard!G$4,Logbook!$D$1:$D$696,DashBoard!$B21)</f>
        <v>1114.5999999999999</v>
      </c>
      <c r="H21" s="2">
        <f>SUMIFS(Logbook!$F$1:$F$696,Logbook!$A$1:$A$696,DashBoard!H$4,Logbook!$D$1:$D$696,DashBoard!$B21)</f>
        <v>582.70000000000005</v>
      </c>
      <c r="I21" s="2">
        <f>SUMIFS(Logbook!$F$1:$F$696,Logbook!$A$1:$A$696,DashBoard!I$4,Logbook!$D$1:$D$696,DashBoard!$B21)</f>
        <v>0</v>
      </c>
      <c r="J21" s="2">
        <f>SUMIFS(Logbook!$F$1:$F$696,Logbook!$A$1:$A$696,DashBoard!J$4,Logbook!$D$1:$D$696,DashBoard!$B21)</f>
        <v>0</v>
      </c>
      <c r="K21" s="2">
        <f>SUMIFS(Logbook!$F$1:$F$696,Logbook!$A$1:$A$696,DashBoard!K$4,Logbook!$D$1:$D$696,DashBoard!$B21)</f>
        <v>0</v>
      </c>
      <c r="L21" s="2">
        <f>SUMIFS(Logbook!$F$1:$F$696,Logbook!$A$1:$A$696,DashBoard!L$4,Logbook!$D$1:$D$696,DashBoard!$B21)</f>
        <v>0</v>
      </c>
      <c r="M21" s="2">
        <f>SUMIFS(Logbook!$F$1:$F$696,Logbook!$A$1:$A$696,DashBoard!M$4,Logbook!$D$1:$D$696,DashBoard!$B21)</f>
        <v>0</v>
      </c>
      <c r="N21" s="2">
        <f>SUMIFS(Logbook!$F$1:$F$696,Logbook!$A$1:$A$696,DashBoard!N$4,Logbook!$D$1:$D$696,DashBoard!$B21)</f>
        <v>0</v>
      </c>
      <c r="O21" s="2">
        <f>SUMIFS(Logbook!$F$1:$F$696,Logbook!$A$1:$A$696,DashBoard!O$4,Logbook!$D$1:$D$696,DashBoard!$B21)</f>
        <v>0</v>
      </c>
      <c r="P21" s="2">
        <f>SUMIFS(Logbook!$F$1:$F$696,Logbook!$A$1:$A$696,DashBoard!P$4,Logbook!$D$1:$D$696,DashBoard!$B21)</f>
        <v>0</v>
      </c>
      <c r="Q21" s="2">
        <f>SUMIFS(Logbook!$F$1:$F$696,Logbook!$A$1:$A$696,DashBoard!Q$4,Logbook!$D$1:$D$696,DashBoard!$B21)</f>
        <v>0</v>
      </c>
      <c r="R21" s="2">
        <f>SUMIFS(Logbook!$F$1:$F$696,Logbook!$A$1:$A$696,DashBoard!R$4,Logbook!$D$1:$D$696,DashBoard!$B21)</f>
        <v>0</v>
      </c>
      <c r="S21" s="79">
        <f t="shared" ref="S21" si="7">SUM(G21:R21)</f>
        <v>1697.3</v>
      </c>
      <c r="T21" s="4"/>
    </row>
    <row r="22" spans="1:20">
      <c r="A22" s="4"/>
      <c r="B22" s="74" t="s">
        <v>33</v>
      </c>
      <c r="C22" s="32">
        <f>SUMIFS(Logbook!F$1:F$696,Logbook!A$1:A$696,DashBoard!$C$3,Logbook!D$1:D$696,DashBoard!B22)</f>
        <v>553.99</v>
      </c>
      <c r="D22" s="32">
        <v>400</v>
      </c>
      <c r="E22" s="9">
        <f t="shared" si="4"/>
        <v>-153.99</v>
      </c>
      <c r="G22" s="2">
        <f>SUMIFS(Logbook!$F$1:$F$696,Logbook!$A$1:$A$696,DashBoard!G$4,Logbook!$D$1:$D$696,DashBoard!$B22)</f>
        <v>527.93999999999994</v>
      </c>
      <c r="H22" s="2">
        <f>SUMIFS(Logbook!$F$1:$F$696,Logbook!$A$1:$A$696,DashBoard!H$4,Logbook!$D$1:$D$696,DashBoard!$B22)</f>
        <v>553.99</v>
      </c>
      <c r="I22" s="2">
        <f>SUMIFS(Logbook!$F$1:$F$696,Logbook!$A$1:$A$696,DashBoard!I$4,Logbook!$D$1:$D$696,DashBoard!$B22)</f>
        <v>0</v>
      </c>
      <c r="J22" s="2">
        <f>SUMIFS(Logbook!$F$1:$F$696,Logbook!$A$1:$A$696,DashBoard!J$4,Logbook!$D$1:$D$696,DashBoard!$B22)</f>
        <v>0</v>
      </c>
      <c r="K22" s="2">
        <f>SUMIFS(Logbook!$F$1:$F$696,Logbook!$A$1:$A$696,DashBoard!K$4,Logbook!$D$1:$D$696,DashBoard!$B22)</f>
        <v>0</v>
      </c>
      <c r="L22" s="2">
        <f>SUMIFS(Logbook!$F$1:$F$696,Logbook!$A$1:$A$696,DashBoard!L$4,Logbook!$D$1:$D$696,DashBoard!$B22)</f>
        <v>0</v>
      </c>
      <c r="M22" s="2">
        <f>SUMIFS(Logbook!$F$1:$F$696,Logbook!$A$1:$A$696,DashBoard!M$4,Logbook!$D$1:$D$696,DashBoard!$B22)</f>
        <v>0</v>
      </c>
      <c r="N22" s="2">
        <f>SUMIFS(Logbook!$F$1:$F$696,Logbook!$A$1:$A$696,DashBoard!N$4,Logbook!$D$1:$D$696,DashBoard!$B22)</f>
        <v>0</v>
      </c>
      <c r="O22" s="2">
        <f>SUMIFS(Logbook!$F$1:$F$696,Logbook!$A$1:$A$696,DashBoard!O$4,Logbook!$D$1:$D$696,DashBoard!$B22)</f>
        <v>0</v>
      </c>
      <c r="P22" s="2">
        <f>SUMIFS(Logbook!$F$1:$F$696,Logbook!$A$1:$A$696,DashBoard!P$4,Logbook!$D$1:$D$696,DashBoard!$B22)</f>
        <v>0</v>
      </c>
      <c r="Q22" s="2">
        <f>SUMIFS(Logbook!$F$1:$F$696,Logbook!$A$1:$A$696,DashBoard!Q$4,Logbook!$D$1:$D$696,DashBoard!$B22)</f>
        <v>0</v>
      </c>
      <c r="R22" s="2">
        <f>SUMIFS(Logbook!$F$1:$F$696,Logbook!$A$1:$A$696,DashBoard!R$4,Logbook!$D$1:$D$696,DashBoard!$B22)</f>
        <v>0</v>
      </c>
      <c r="S22" s="79">
        <f t="shared" si="5"/>
        <v>1081.9299999999998</v>
      </c>
      <c r="T22" s="4"/>
    </row>
    <row r="23" spans="1:20">
      <c r="A23" s="4"/>
      <c r="B23" s="74" t="s">
        <v>16</v>
      </c>
      <c r="C23" s="32">
        <f>SUMIFS(Logbook!F$1:F$696,Logbook!A$1:A$696,DashBoard!$C$3,Logbook!D$1:D$696,DashBoard!B23)</f>
        <v>146.07</v>
      </c>
      <c r="D23" s="32">
        <v>200</v>
      </c>
      <c r="E23" s="9">
        <f t="shared" si="4"/>
        <v>53.930000000000007</v>
      </c>
      <c r="G23" s="2">
        <f>SUMIFS(Logbook!$F$1:$F$696,Logbook!$A$1:$A$696,DashBoard!G$4,Logbook!$D$1:$D$696,DashBoard!$B23)</f>
        <v>289.52</v>
      </c>
      <c r="H23" s="2">
        <f>SUMIFS(Logbook!$F$1:$F$696,Logbook!$A$1:$A$696,DashBoard!H$4,Logbook!$D$1:$D$696,DashBoard!$B23)</f>
        <v>146.07</v>
      </c>
      <c r="I23" s="2">
        <f>SUMIFS(Logbook!$F$1:$F$696,Logbook!$A$1:$A$696,DashBoard!I$4,Logbook!$D$1:$D$696,DashBoard!$B23)</f>
        <v>0</v>
      </c>
      <c r="J23" s="2">
        <f>SUMIFS(Logbook!$F$1:$F$696,Logbook!$A$1:$A$696,DashBoard!J$4,Logbook!$D$1:$D$696,DashBoard!$B23)</f>
        <v>0</v>
      </c>
      <c r="K23" s="2">
        <f>SUMIFS(Logbook!$F$1:$F$696,Logbook!$A$1:$A$696,DashBoard!K$4,Logbook!$D$1:$D$696,DashBoard!$B23)</f>
        <v>0</v>
      </c>
      <c r="L23" s="2">
        <f>SUMIFS(Logbook!$F$1:$F$696,Logbook!$A$1:$A$696,DashBoard!L$4,Logbook!$D$1:$D$696,DashBoard!$B23)</f>
        <v>0</v>
      </c>
      <c r="M23" s="2">
        <f>SUMIFS(Logbook!$F$1:$F$696,Logbook!$A$1:$A$696,DashBoard!M$4,Logbook!$D$1:$D$696,DashBoard!$B23)</f>
        <v>0</v>
      </c>
      <c r="N23" s="2">
        <f>SUMIFS(Logbook!$F$1:$F$696,Logbook!$A$1:$A$696,DashBoard!N$4,Logbook!$D$1:$D$696,DashBoard!$B23)</f>
        <v>0</v>
      </c>
      <c r="O23" s="2">
        <f>SUMIFS(Logbook!$F$1:$F$696,Logbook!$A$1:$A$696,DashBoard!O$4,Logbook!$D$1:$D$696,DashBoard!$B23)</f>
        <v>0</v>
      </c>
      <c r="P23" s="2">
        <f>SUMIFS(Logbook!$F$1:$F$696,Logbook!$A$1:$A$696,DashBoard!P$4,Logbook!$D$1:$D$696,DashBoard!$B23)</f>
        <v>0</v>
      </c>
      <c r="Q23" s="2">
        <f>SUMIFS(Logbook!$F$1:$F$696,Logbook!$A$1:$A$696,DashBoard!Q$4,Logbook!$D$1:$D$696,DashBoard!$B23)</f>
        <v>0</v>
      </c>
      <c r="R23" s="2">
        <f>SUMIFS(Logbook!$F$1:$F$696,Logbook!$A$1:$A$696,DashBoard!R$4,Logbook!$D$1:$D$696,DashBoard!$B23)</f>
        <v>0</v>
      </c>
      <c r="S23" s="79">
        <f t="shared" si="5"/>
        <v>435.59</v>
      </c>
      <c r="T23" s="4"/>
    </row>
    <row r="24" spans="1:20">
      <c r="A24" s="4"/>
      <c r="B24" s="74" t="s">
        <v>36</v>
      </c>
      <c r="C24" s="32">
        <f>SUMIFS(Logbook!F$1:F$696,Logbook!A$1:A$696,DashBoard!$C$3,Logbook!D$1:D$696,DashBoard!B24)</f>
        <v>423.43999999999994</v>
      </c>
      <c r="D24" s="32">
        <v>200</v>
      </c>
      <c r="E24" s="9">
        <f t="shared" si="4"/>
        <v>-223.43999999999994</v>
      </c>
      <c r="G24" s="2">
        <f>SUMIFS(Logbook!$F$1:$F$696,Logbook!$A$1:$A$696,DashBoard!G$4,Logbook!$D$1:$D$696,DashBoard!$B24)</f>
        <v>202.16</v>
      </c>
      <c r="H24" s="2">
        <f>SUMIFS(Logbook!$F$1:$F$696,Logbook!$A$1:$A$696,DashBoard!H$4,Logbook!$D$1:$D$696,DashBoard!$B24)</f>
        <v>423.43999999999994</v>
      </c>
      <c r="I24" s="2">
        <f>SUMIFS(Logbook!$F$1:$F$696,Logbook!$A$1:$A$696,DashBoard!I$4,Logbook!$D$1:$D$696,DashBoard!$B24)</f>
        <v>0</v>
      </c>
      <c r="J24" s="2">
        <f>SUMIFS(Logbook!$F$1:$F$696,Logbook!$A$1:$A$696,DashBoard!J$4,Logbook!$D$1:$D$696,DashBoard!$B24)</f>
        <v>0</v>
      </c>
      <c r="K24" s="2">
        <f>SUMIFS(Logbook!$F$1:$F$696,Logbook!$A$1:$A$696,DashBoard!K$4,Logbook!$D$1:$D$696,DashBoard!$B24)</f>
        <v>0</v>
      </c>
      <c r="L24" s="2">
        <f>SUMIFS(Logbook!$F$1:$F$696,Logbook!$A$1:$A$696,DashBoard!L$4,Logbook!$D$1:$D$696,DashBoard!$B24)</f>
        <v>0</v>
      </c>
      <c r="M24" s="2">
        <f>SUMIFS(Logbook!$F$1:$F$696,Logbook!$A$1:$A$696,DashBoard!M$4,Logbook!$D$1:$D$696,DashBoard!$B24)</f>
        <v>0</v>
      </c>
      <c r="N24" s="2">
        <f>SUMIFS(Logbook!$F$1:$F$696,Logbook!$A$1:$A$696,DashBoard!N$4,Logbook!$D$1:$D$696,DashBoard!$B24)</f>
        <v>0</v>
      </c>
      <c r="O24" s="2">
        <f>SUMIFS(Logbook!$F$1:$F$696,Logbook!$A$1:$A$696,DashBoard!O$4,Logbook!$D$1:$D$696,DashBoard!$B24)</f>
        <v>0</v>
      </c>
      <c r="P24" s="2">
        <f>SUMIFS(Logbook!$F$1:$F$696,Logbook!$A$1:$A$696,DashBoard!P$4,Logbook!$D$1:$D$696,DashBoard!$B24)</f>
        <v>0</v>
      </c>
      <c r="Q24" s="2">
        <f>SUMIFS(Logbook!$F$1:$F$696,Logbook!$A$1:$A$696,DashBoard!Q$4,Logbook!$D$1:$D$696,DashBoard!$B24)</f>
        <v>0</v>
      </c>
      <c r="R24" s="2">
        <f>SUMIFS(Logbook!$F$1:$F$696,Logbook!$A$1:$A$696,DashBoard!R$4,Logbook!$D$1:$D$696,DashBoard!$B24)</f>
        <v>0</v>
      </c>
      <c r="S24" s="79">
        <f t="shared" si="5"/>
        <v>625.59999999999991</v>
      </c>
      <c r="T24" s="4"/>
    </row>
    <row r="25" spans="1:20">
      <c r="A25" s="4"/>
      <c r="B25" s="74" t="s">
        <v>37</v>
      </c>
      <c r="C25" s="32">
        <f>SUMIFS(Logbook!F$1:F$696,Logbook!A$1:A$696,DashBoard!$C$3,Logbook!D$1:D$696,DashBoard!B25)</f>
        <v>75</v>
      </c>
      <c r="D25" s="32">
        <v>150</v>
      </c>
      <c r="E25" s="9">
        <f t="shared" si="4"/>
        <v>75</v>
      </c>
      <c r="G25" s="2">
        <f>SUMIFS(Logbook!$F$1:$F$696,Logbook!$A$1:$A$696,DashBoard!G$4,Logbook!$D$1:$D$696,DashBoard!$B25)</f>
        <v>310.60000000000002</v>
      </c>
      <c r="H25" s="2">
        <f>SUMIFS(Logbook!$F$1:$F$696,Logbook!$A$1:$A$696,DashBoard!H$4,Logbook!$D$1:$D$696,DashBoard!$B25)</f>
        <v>75</v>
      </c>
      <c r="I25" s="2">
        <f>SUMIFS(Logbook!$F$1:$F$696,Logbook!$A$1:$A$696,DashBoard!I$4,Logbook!$D$1:$D$696,DashBoard!$B25)</f>
        <v>0</v>
      </c>
      <c r="J25" s="2">
        <f>SUMIFS(Logbook!$F$1:$F$696,Logbook!$A$1:$A$696,DashBoard!J$4,Logbook!$D$1:$D$696,DashBoard!$B25)</f>
        <v>0</v>
      </c>
      <c r="K25" s="2">
        <f>SUMIFS(Logbook!$F$1:$F$696,Logbook!$A$1:$A$696,DashBoard!K$4,Logbook!$D$1:$D$696,DashBoard!$B25)</f>
        <v>0</v>
      </c>
      <c r="L25" s="2">
        <f>SUMIFS(Logbook!$F$1:$F$696,Logbook!$A$1:$A$696,DashBoard!L$4,Logbook!$D$1:$D$696,DashBoard!$B25)</f>
        <v>0</v>
      </c>
      <c r="M25" s="2">
        <f>SUMIFS(Logbook!$F$1:$F$696,Logbook!$A$1:$A$696,DashBoard!M$4,Logbook!$D$1:$D$696,DashBoard!$B25)</f>
        <v>0</v>
      </c>
      <c r="N25" s="2">
        <f>SUMIFS(Logbook!$F$1:$F$696,Logbook!$A$1:$A$696,DashBoard!N$4,Logbook!$D$1:$D$696,DashBoard!$B25)</f>
        <v>0</v>
      </c>
      <c r="O25" s="2">
        <f>SUMIFS(Logbook!$F$1:$F$696,Logbook!$A$1:$A$696,DashBoard!O$4,Logbook!$D$1:$D$696,DashBoard!$B25)</f>
        <v>0</v>
      </c>
      <c r="P25" s="2">
        <f>SUMIFS(Logbook!$F$1:$F$696,Logbook!$A$1:$A$696,DashBoard!P$4,Logbook!$D$1:$D$696,DashBoard!$B25)</f>
        <v>0</v>
      </c>
      <c r="Q25" s="2">
        <f>SUMIFS(Logbook!$F$1:$F$696,Logbook!$A$1:$A$696,DashBoard!Q$4,Logbook!$D$1:$D$696,DashBoard!$B25)</f>
        <v>0</v>
      </c>
      <c r="R25" s="2">
        <f>SUMIFS(Logbook!$F$1:$F$696,Logbook!$A$1:$A$696,DashBoard!R$4,Logbook!$D$1:$D$696,DashBoard!$B25)</f>
        <v>0</v>
      </c>
      <c r="S25" s="79">
        <f t="shared" si="5"/>
        <v>385.6</v>
      </c>
      <c r="T25" s="4"/>
    </row>
    <row r="26" spans="1:20">
      <c r="A26" s="4"/>
      <c r="B26" s="74" t="s">
        <v>103</v>
      </c>
      <c r="C26" s="2">
        <f>SUMIFS(Logbook!F$1:F$696,Logbook!A$1:A$696,DashBoard!$C$3,Logbook!D$1:D$696,DashBoard!B26)</f>
        <v>6000</v>
      </c>
      <c r="D26" s="2"/>
      <c r="E26" s="9">
        <f>C26</f>
        <v>6000</v>
      </c>
      <c r="G26" s="2">
        <f>SUMIFS(Logbook!$F$1:$F$696,Logbook!$A$1:$A$696,DashBoard!G$4,Logbook!$D$1:$D$696,DashBoard!$B26)</f>
        <v>0</v>
      </c>
      <c r="H26" s="2">
        <f>SUMIFS(Logbook!$F$1:$F$696,Logbook!$A$1:$A$696,DashBoard!H$4,Logbook!$D$1:$D$696,DashBoard!$B26)</f>
        <v>6000</v>
      </c>
      <c r="I26" s="2">
        <f>SUMIFS(Logbook!$F$1:$F$696,Logbook!$A$1:$A$696,DashBoard!I$4,Logbook!$D$1:$D$696,DashBoard!$B26)</f>
        <v>0</v>
      </c>
      <c r="J26" s="2">
        <f>SUMIFS(Logbook!$F$1:$F$696,Logbook!$A$1:$A$696,DashBoard!J$4,Logbook!$D$1:$D$696,DashBoard!$B26)</f>
        <v>0</v>
      </c>
      <c r="K26" s="2">
        <f>SUMIFS(Logbook!$F$1:$F$696,Logbook!$A$1:$A$696,DashBoard!K$4,Logbook!$D$1:$D$696,DashBoard!$B26)</f>
        <v>0</v>
      </c>
      <c r="L26" s="2">
        <f>SUMIFS(Logbook!$F$1:$F$696,Logbook!$A$1:$A$696,DashBoard!L$4,Logbook!$D$1:$D$696,DashBoard!$B26)</f>
        <v>0</v>
      </c>
      <c r="M26" s="2">
        <f>SUMIFS(Logbook!$F$1:$F$696,Logbook!$A$1:$A$696,DashBoard!M$4,Logbook!$D$1:$D$696,DashBoard!$B26)</f>
        <v>0</v>
      </c>
      <c r="N26" s="2">
        <f>SUMIFS(Logbook!$F$1:$F$696,Logbook!$A$1:$A$696,DashBoard!N$4,Logbook!$D$1:$D$696,DashBoard!$B26)</f>
        <v>0</v>
      </c>
      <c r="O26" s="2">
        <f>SUMIFS(Logbook!$F$1:$F$696,Logbook!$A$1:$A$696,DashBoard!O$4,Logbook!$D$1:$D$696,DashBoard!$B26)</f>
        <v>0</v>
      </c>
      <c r="P26" s="2">
        <f>SUMIFS(Logbook!$F$1:$F$696,Logbook!$A$1:$A$696,DashBoard!P$4,Logbook!$D$1:$D$696,DashBoard!$B26)</f>
        <v>0</v>
      </c>
      <c r="Q26" s="2">
        <f>SUMIFS(Logbook!$F$1:$F$696,Logbook!$A$1:$A$696,DashBoard!Q$4,Logbook!$D$1:$D$696,DashBoard!$B26)</f>
        <v>0</v>
      </c>
      <c r="R26" s="2">
        <f>SUMIFS(Logbook!$F$1:$F$696,Logbook!$A$1:$A$696,DashBoard!R$4,Logbook!$D$1:$D$696,DashBoard!$B26)</f>
        <v>0</v>
      </c>
      <c r="S26" s="83">
        <f t="shared" si="5"/>
        <v>6000</v>
      </c>
      <c r="T26" s="4"/>
    </row>
    <row r="27" spans="1:20">
      <c r="A27" s="4"/>
      <c r="B27" s="31"/>
      <c r="C27" s="2">
        <f>SUMIFS(Logbook!F$1:F$696,Logbook!A$1:A$696,DashBoard!$C$3,Logbook!D$1:D$696,DashBoard!B27)</f>
        <v>0</v>
      </c>
      <c r="D27" s="2"/>
      <c r="E27" s="9">
        <f t="shared" si="4"/>
        <v>0</v>
      </c>
      <c r="G27" s="2">
        <f>SUMIFS(Logbook!$F$1:$F$696,Logbook!$A$1:$A$696,DashBoard!G$4,Logbook!$D$1:$D$696,DashBoard!$B27)</f>
        <v>0</v>
      </c>
      <c r="H27" s="2">
        <f>SUMIFS(Logbook!$F$1:$F$696,Logbook!$A$1:$A$696,DashBoard!H$4,Logbook!$D$1:$D$696,DashBoard!$B27)</f>
        <v>0</v>
      </c>
      <c r="I27" s="2">
        <f>SUMIFS(Logbook!$F$1:$F$696,Logbook!$A$1:$A$696,DashBoard!I$4,Logbook!$D$1:$D$696,DashBoard!$B27)</f>
        <v>0</v>
      </c>
      <c r="J27" s="2">
        <f>SUMIFS(Logbook!$F$1:$F$696,Logbook!$A$1:$A$696,DashBoard!J$4,Logbook!$D$1:$D$696,DashBoard!$B27)</f>
        <v>0</v>
      </c>
      <c r="K27" s="2">
        <f>SUMIFS(Logbook!$F$1:$F$696,Logbook!$A$1:$A$696,DashBoard!K$4,Logbook!$D$1:$D$696,DashBoard!$B27)</f>
        <v>0</v>
      </c>
      <c r="L27" s="2">
        <f>SUMIFS(Logbook!$F$1:$F$696,Logbook!$A$1:$A$696,DashBoard!L$4,Logbook!$D$1:$D$696,DashBoard!$B27)</f>
        <v>0</v>
      </c>
      <c r="M27" s="2">
        <f>SUMIFS(Logbook!$F$1:$F$696,Logbook!$A$1:$A$696,DashBoard!M$4,Logbook!$D$1:$D$696,DashBoard!$B27)</f>
        <v>0</v>
      </c>
      <c r="N27" s="2">
        <f>SUMIFS(Logbook!$F$1:$F$696,Logbook!$A$1:$A$696,DashBoard!N$4,Logbook!$D$1:$D$696,DashBoard!$B27)</f>
        <v>0</v>
      </c>
      <c r="O27" s="2">
        <f>SUMIFS(Logbook!$F$1:$F$696,Logbook!$A$1:$A$696,DashBoard!O$4,Logbook!$D$1:$D$696,DashBoard!$B27)</f>
        <v>0</v>
      </c>
      <c r="P27" s="2">
        <f>SUMIFS(Logbook!$F$1:$F$696,Logbook!$A$1:$A$696,DashBoard!P$4,Logbook!$D$1:$D$696,DashBoard!$B27)</f>
        <v>0</v>
      </c>
      <c r="Q27" s="2">
        <f>SUMIFS(Logbook!$F$1:$F$696,Logbook!$A$1:$A$696,DashBoard!Q$4,Logbook!$D$1:$D$696,DashBoard!$B27)</f>
        <v>0</v>
      </c>
      <c r="R27" s="2">
        <f>SUMIFS(Logbook!$F$1:$F$696,Logbook!$A$1:$A$696,DashBoard!R$4,Logbook!$D$1:$D$696,DashBoard!$B27)</f>
        <v>0</v>
      </c>
      <c r="S27" s="76">
        <f t="shared" si="5"/>
        <v>0</v>
      </c>
      <c r="T27" s="4"/>
    </row>
    <row r="28" spans="1:20">
      <c r="A28" s="4"/>
      <c r="B28" s="31"/>
      <c r="C28" s="2">
        <f>SUMIFS(Logbook!F$1:F$696,Logbook!A$1:A$696,DashBoard!$C$3,Logbook!D$1:D$696,DashBoard!B28)</f>
        <v>0</v>
      </c>
      <c r="D28" s="2"/>
      <c r="E28" s="9">
        <f t="shared" si="4"/>
        <v>0</v>
      </c>
      <c r="G28" s="2">
        <f>SUMIFS(Logbook!$F$1:$F$696,Logbook!$A$1:$A$696,DashBoard!G$4,Logbook!$D$1:$D$696,DashBoard!$B28)</f>
        <v>0</v>
      </c>
      <c r="H28" s="2">
        <f>SUMIFS(Logbook!$F$1:$F$696,Logbook!$A$1:$A$696,DashBoard!H$4,Logbook!$D$1:$D$696,DashBoard!$B28)</f>
        <v>0</v>
      </c>
      <c r="I28" s="2">
        <f>SUMIFS(Logbook!$F$1:$F$696,Logbook!$A$1:$A$696,DashBoard!I$4,Logbook!$D$1:$D$696,DashBoard!$B28)</f>
        <v>0</v>
      </c>
      <c r="J28" s="2">
        <f>SUMIFS(Logbook!$F$1:$F$696,Logbook!$A$1:$A$696,DashBoard!J$4,Logbook!$D$1:$D$696,DashBoard!$B28)</f>
        <v>0</v>
      </c>
      <c r="K28" s="2">
        <f>SUMIFS(Logbook!$F$1:$F$696,Logbook!$A$1:$A$696,DashBoard!K$4,Logbook!$D$1:$D$696,DashBoard!$B28)</f>
        <v>0</v>
      </c>
      <c r="L28" s="2">
        <f>SUMIFS(Logbook!$F$1:$F$696,Logbook!$A$1:$A$696,DashBoard!L$4,Logbook!$D$1:$D$696,DashBoard!$B28)</f>
        <v>0</v>
      </c>
      <c r="M28" s="2">
        <f>SUMIFS(Logbook!$F$1:$F$696,Logbook!$A$1:$A$696,DashBoard!M$4,Logbook!$D$1:$D$696,DashBoard!$B28)</f>
        <v>0</v>
      </c>
      <c r="N28" s="2">
        <f>SUMIFS(Logbook!$F$1:$F$696,Logbook!$A$1:$A$696,DashBoard!N$4,Logbook!$D$1:$D$696,DashBoard!$B28)</f>
        <v>0</v>
      </c>
      <c r="O28" s="2">
        <f>SUMIFS(Logbook!$F$1:$F$696,Logbook!$A$1:$A$696,DashBoard!O$4,Logbook!$D$1:$D$696,DashBoard!$B28)</f>
        <v>0</v>
      </c>
      <c r="P28" s="2">
        <f>SUMIFS(Logbook!$F$1:$F$696,Logbook!$A$1:$A$696,DashBoard!P$4,Logbook!$D$1:$D$696,DashBoard!$B28)</f>
        <v>0</v>
      </c>
      <c r="Q28" s="2">
        <f>SUMIFS(Logbook!$F$1:$F$696,Logbook!$A$1:$A$696,DashBoard!Q$4,Logbook!$D$1:$D$696,DashBoard!$B28)</f>
        <v>0</v>
      </c>
      <c r="R28" s="2">
        <f>SUMIFS(Logbook!$F$1:$F$696,Logbook!$A$1:$A$696,DashBoard!R$4,Logbook!$D$1:$D$696,DashBoard!$B28)</f>
        <v>0</v>
      </c>
      <c r="S28" s="76">
        <f t="shared" si="5"/>
        <v>0</v>
      </c>
      <c r="T28" s="4"/>
    </row>
    <row r="29" spans="1:20">
      <c r="A29" s="4"/>
      <c r="B29" s="31"/>
      <c r="C29" s="2">
        <f>SUMIFS(Logbook!F$1:F$696,Logbook!A$1:A$696,DashBoard!$C$3,Logbook!D$1:D$696,DashBoard!B29)</f>
        <v>0</v>
      </c>
      <c r="D29" s="2"/>
      <c r="E29" s="9">
        <f t="shared" ref="E29" si="8">SUM(D29-C29)</f>
        <v>0</v>
      </c>
      <c r="G29" s="2">
        <f>SUMIFS(Logbook!$F$1:$F$696,Logbook!$A$1:$A$696,DashBoard!G$4,Logbook!$D$1:$D$696,DashBoard!$B29)</f>
        <v>0</v>
      </c>
      <c r="H29" s="2">
        <f>SUMIFS(Logbook!$F$1:$F$696,Logbook!$A$1:$A$696,DashBoard!H$4,Logbook!$D$1:$D$696,DashBoard!$B29)</f>
        <v>0</v>
      </c>
      <c r="I29" s="2">
        <f>SUMIFS(Logbook!$F$1:$F$696,Logbook!$A$1:$A$696,DashBoard!I$4,Logbook!$D$1:$D$696,DashBoard!$B29)</f>
        <v>0</v>
      </c>
      <c r="J29" s="2">
        <f>SUMIFS(Logbook!$F$1:$F$696,Logbook!$A$1:$A$696,DashBoard!J$4,Logbook!$D$1:$D$696,DashBoard!$B29)</f>
        <v>0</v>
      </c>
      <c r="K29" s="2">
        <f>SUMIFS(Logbook!$F$1:$F$696,Logbook!$A$1:$A$696,DashBoard!K$4,Logbook!$D$1:$D$696,DashBoard!$B29)</f>
        <v>0</v>
      </c>
      <c r="L29" s="2">
        <f>SUMIFS(Logbook!$F$1:$F$696,Logbook!$A$1:$A$696,DashBoard!L$4,Logbook!$D$1:$D$696,DashBoard!$B29)</f>
        <v>0</v>
      </c>
      <c r="M29" s="2">
        <f>SUMIFS(Logbook!$F$1:$F$696,Logbook!$A$1:$A$696,DashBoard!M$4,Logbook!$D$1:$D$696,DashBoard!$B29)</f>
        <v>0</v>
      </c>
      <c r="N29" s="2">
        <f>SUMIFS(Logbook!$F$1:$F$696,Logbook!$A$1:$A$696,DashBoard!N$4,Logbook!$D$1:$D$696,DashBoard!$B29)</f>
        <v>0</v>
      </c>
      <c r="O29" s="2">
        <f>SUMIFS(Logbook!$F$1:$F$696,Logbook!$A$1:$A$696,DashBoard!O$4,Logbook!$D$1:$D$696,DashBoard!$B29)</f>
        <v>0</v>
      </c>
      <c r="P29" s="2">
        <f>SUMIFS(Logbook!$F$1:$F$696,Logbook!$A$1:$A$696,DashBoard!P$4,Logbook!$D$1:$D$696,DashBoard!$B29)</f>
        <v>0</v>
      </c>
      <c r="Q29" s="2">
        <f>SUMIFS(Logbook!$F$1:$F$696,Logbook!$A$1:$A$696,DashBoard!Q$4,Logbook!$D$1:$D$696,DashBoard!$B29)</f>
        <v>0</v>
      </c>
      <c r="R29" s="2">
        <f>SUMIFS(Logbook!$F$1:$F$696,Logbook!$A$1:$A$696,DashBoard!R$4,Logbook!$D$1:$D$696,DashBoard!$B29)</f>
        <v>0</v>
      </c>
      <c r="S29" s="76">
        <f t="shared" ref="S29" si="9">SUM(G29:R29)</f>
        <v>0</v>
      </c>
      <c r="T29" s="4"/>
    </row>
    <row r="30" spans="1:20">
      <c r="A30" s="4"/>
      <c r="B30" s="31"/>
      <c r="C30" s="2">
        <f>SUMIFS(Logbook!F$1:F$696,Logbook!A$1:A$696,DashBoard!$C$3,Logbook!D$1:D$696,DashBoard!B30)</f>
        <v>0</v>
      </c>
      <c r="D30" s="2"/>
      <c r="E30" s="9">
        <f t="shared" ref="E30" si="10">SUM(D30-C30)</f>
        <v>0</v>
      </c>
      <c r="G30" s="2">
        <f>SUMIFS(Logbook!$F$1:$F$696,Logbook!$A$1:$A$696,DashBoard!G$4,Logbook!$D$1:$D$696,DashBoard!$B30)</f>
        <v>0</v>
      </c>
      <c r="H30" s="2">
        <f>SUMIFS(Logbook!$F$1:$F$696,Logbook!$A$1:$A$696,DashBoard!H$4,Logbook!$D$1:$D$696,DashBoard!$B30)</f>
        <v>0</v>
      </c>
      <c r="I30" s="2">
        <f>SUMIFS(Logbook!$F$1:$F$696,Logbook!$A$1:$A$696,DashBoard!I$4,Logbook!$D$1:$D$696,DashBoard!$B30)</f>
        <v>0</v>
      </c>
      <c r="J30" s="2">
        <f>SUMIFS(Logbook!$F$1:$F$696,Logbook!$A$1:$A$696,DashBoard!J$4,Logbook!$D$1:$D$696,DashBoard!$B30)</f>
        <v>0</v>
      </c>
      <c r="K30" s="2">
        <f>SUMIFS(Logbook!$F$1:$F$696,Logbook!$A$1:$A$696,DashBoard!K$4,Logbook!$D$1:$D$696,DashBoard!$B30)</f>
        <v>0</v>
      </c>
      <c r="L30" s="2">
        <f>SUMIFS(Logbook!$F$1:$F$696,Logbook!$A$1:$A$696,DashBoard!L$4,Logbook!$D$1:$D$696,DashBoard!$B30)</f>
        <v>0</v>
      </c>
      <c r="M30" s="2">
        <f>SUMIFS(Logbook!$F$1:$F$696,Logbook!$A$1:$A$696,DashBoard!M$4,Logbook!$D$1:$D$696,DashBoard!$B30)</f>
        <v>0</v>
      </c>
      <c r="N30" s="2">
        <f>SUMIFS(Logbook!$F$1:$F$696,Logbook!$A$1:$A$696,DashBoard!N$4,Logbook!$D$1:$D$696,DashBoard!$B30)</f>
        <v>0</v>
      </c>
      <c r="O30" s="2">
        <f>SUMIFS(Logbook!$F$1:$F$696,Logbook!$A$1:$A$696,DashBoard!O$4,Logbook!$D$1:$D$696,DashBoard!$B30)</f>
        <v>0</v>
      </c>
      <c r="P30" s="2">
        <f>SUMIFS(Logbook!$F$1:$F$696,Logbook!$A$1:$A$696,DashBoard!P$4,Logbook!$D$1:$D$696,DashBoard!$B30)</f>
        <v>0</v>
      </c>
      <c r="Q30" s="2">
        <f>SUMIFS(Logbook!$F$1:$F$696,Logbook!$A$1:$A$696,DashBoard!Q$4,Logbook!$D$1:$D$696,DashBoard!$B30)</f>
        <v>0</v>
      </c>
      <c r="R30" s="2">
        <f>SUMIFS(Logbook!$F$1:$F$696,Logbook!$A$1:$A$696,DashBoard!R$4,Logbook!$D$1:$D$696,DashBoard!$B30)</f>
        <v>0</v>
      </c>
      <c r="S30" s="76">
        <f t="shared" ref="S30" si="11">SUM(G30:R30)</f>
        <v>0</v>
      </c>
      <c r="T30" s="4"/>
    </row>
    <row r="31" spans="1:20">
      <c r="A31" s="4"/>
      <c r="B31" s="35" t="s">
        <v>160</v>
      </c>
      <c r="C31" s="75">
        <f>SUM(C14:C27)</f>
        <v>13018.039999999997</v>
      </c>
      <c r="D31" s="75">
        <f>SUM(D14:D30)</f>
        <v>10500</v>
      </c>
      <c r="E31" s="76">
        <f>SUM(E14,E17,E18,E19,E20,E21,E22,E23,E24,E25,E27,E28,E29,E30,E15,E16)</f>
        <v>3481.9600000000005</v>
      </c>
      <c r="F31" s="40">
        <f>SUM(F14,F17,F18,F19,F20,F21,F22,F23,F24,F25,F27,F28,F29,F30)</f>
        <v>0</v>
      </c>
      <c r="G31" s="79">
        <f>SUM(G14,G17,G18,G19,G20,G21,G22,G23,G24,G25,G27,G28,G29,G30)</f>
        <v>7560.8799999999992</v>
      </c>
      <c r="H31" s="79">
        <f>SUM(H14,H17,H18,H19,H20,H21,H22,H23,H24,H25,H27,H28,H29,H30)</f>
        <v>7018.0399999999981</v>
      </c>
      <c r="I31" s="79">
        <f>SUM(I14,I17,I18,I19,I20,I21,I22,I23,I24,I25,I27,I28,I29,I30)</f>
        <v>0</v>
      </c>
      <c r="J31" s="79">
        <f>SUM(J14,J17,J18,J19,J20,J21,J22,J23,J24,J25,J27,J28,J29,J30)</f>
        <v>0</v>
      </c>
      <c r="K31" s="79">
        <f>SUM(K14,K17,K18,K19,K20,K21,K22,K23,K24,K25,K27,K28,K29,K30)</f>
        <v>0</v>
      </c>
      <c r="L31" s="79">
        <f>SUM(L14,L17,L18,L19,L20,L21,L22,L23,L24,L25,L27,L28,L29,L30)</f>
        <v>0</v>
      </c>
      <c r="M31" s="79">
        <f>SUM(M14,M17,M18,M19,M20,M21,M22,M23,M24,M25,M27,M28,M29,M30)</f>
        <v>0</v>
      </c>
      <c r="N31" s="79">
        <f>SUM(N14,N17,N18,N19,N20,N21,N22,N23,N24,N25,N27,N28,N29,N30)</f>
        <v>0</v>
      </c>
      <c r="O31" s="79">
        <f>SUM(O14,O17,O18,O19,O20,O21,O22,O23,O24,O25,O27,O28,O29,O30)</f>
        <v>0</v>
      </c>
      <c r="P31" s="79">
        <f>SUM(P14,P17,P18,P19,P20,P21,P22,P23,P24,P25,P27,P28,P29,P30)</f>
        <v>0</v>
      </c>
      <c r="Q31" s="79">
        <f>SUM(Q14,Q17,Q18,Q19,Q20,Q21,Q22,Q23,Q24,Q25,Q27,Q28,Q29,Q30)</f>
        <v>0</v>
      </c>
      <c r="R31" s="79">
        <f>SUM(R14,R17,R18,R19,R20,R21,R22,R23,R24,R25,R27,R28,R29,R30)</f>
        <v>0</v>
      </c>
      <c r="S31" s="79">
        <f>SUM(S14,S17,S18,S19,S20,S21,S22,S23,S24,S25,S27,S28,S29,S30)</f>
        <v>14578.920000000002</v>
      </c>
      <c r="T31" s="4"/>
    </row>
    <row r="32" spans="1:20" ht="14.25" hidden="1" customHeight="1" outlineLevel="1">
      <c r="A32" s="4"/>
      <c r="B32" s="35" t="s">
        <v>160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4"/>
    </row>
    <row r="33" spans="1:20" ht="14.25" hidden="1" customHeight="1" outlineLevel="1">
      <c r="A33" s="4"/>
      <c r="B33" s="35" t="s">
        <v>160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4"/>
    </row>
    <row r="34" spans="1:20" collapsed="1">
      <c r="A34" s="4"/>
      <c r="B34" s="70"/>
      <c r="C34" s="70"/>
      <c r="D34" s="71"/>
      <c r="E34" s="72"/>
      <c r="G34" s="80">
        <f t="shared" ref="G34:S34" si="12">G11-G31</f>
        <v>9912.0399999999991</v>
      </c>
      <c r="H34" s="80">
        <f t="shared" si="12"/>
        <v>-2933.7699999999982</v>
      </c>
      <c r="I34" s="80">
        <f t="shared" si="12"/>
        <v>0</v>
      </c>
      <c r="J34" s="80">
        <f t="shared" si="12"/>
        <v>0</v>
      </c>
      <c r="K34" s="80">
        <f t="shared" si="12"/>
        <v>0</v>
      </c>
      <c r="L34" s="80">
        <f t="shared" si="12"/>
        <v>0</v>
      </c>
      <c r="M34" s="80">
        <f t="shared" si="12"/>
        <v>0</v>
      </c>
      <c r="N34" s="80">
        <f t="shared" si="12"/>
        <v>0</v>
      </c>
      <c r="O34" s="80">
        <f t="shared" si="12"/>
        <v>0</v>
      </c>
      <c r="P34" s="80">
        <f t="shared" si="12"/>
        <v>0</v>
      </c>
      <c r="Q34" s="80">
        <f t="shared" si="12"/>
        <v>0</v>
      </c>
      <c r="R34" s="80">
        <f t="shared" si="12"/>
        <v>0</v>
      </c>
      <c r="S34" s="80">
        <f t="shared" si="12"/>
        <v>6978.2699999999968</v>
      </c>
      <c r="T34" s="4"/>
    </row>
    <row r="35" spans="1:20">
      <c r="A35" s="4"/>
      <c r="B35" s="70"/>
      <c r="C35" s="70"/>
      <c r="D35" s="71"/>
      <c r="E35" s="72"/>
      <c r="F35" s="81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3">
        <f>SUM(S15,S16,S26)</f>
        <v>8714</v>
      </c>
      <c r="T35" s="4"/>
    </row>
    <row r="36" spans="1:20">
      <c r="A36" s="4"/>
      <c r="T36" s="4"/>
    </row>
    <row r="37" spans="1:20">
      <c r="A37" s="4"/>
      <c r="T37" s="4"/>
    </row>
    <row r="38" spans="1:20">
      <c r="A38" s="4"/>
      <c r="T38" s="4"/>
    </row>
    <row r="39" spans="1:20">
      <c r="A39" s="4"/>
      <c r="T39" s="4"/>
    </row>
    <row r="40" spans="1:20">
      <c r="A40" s="4"/>
      <c r="T40" s="4"/>
    </row>
    <row r="41" spans="1:20">
      <c r="A41" s="4"/>
      <c r="T41" s="4"/>
    </row>
    <row r="42" spans="1:20">
      <c r="A42" s="4"/>
      <c r="T42" s="4"/>
    </row>
    <row r="43" spans="1:20">
      <c r="A43" s="4"/>
      <c r="T43" s="4"/>
    </row>
    <row r="44" spans="1:20">
      <c r="A44" s="4"/>
      <c r="T44" s="4"/>
    </row>
    <row r="45" spans="1:20">
      <c r="A45" s="4"/>
      <c r="T45" s="4"/>
    </row>
    <row r="46" spans="1:20">
      <c r="A46" s="4"/>
      <c r="T46" s="4"/>
    </row>
    <row r="47" spans="1:20">
      <c r="A47" s="4"/>
      <c r="T47" s="4"/>
    </row>
    <row r="48" spans="1:20">
      <c r="A48" s="4"/>
      <c r="T48" s="4"/>
    </row>
    <row r="49" spans="1:20">
      <c r="A49" s="4"/>
      <c r="T49" s="4"/>
    </row>
    <row r="50" spans="1:20">
      <c r="A50" s="4"/>
      <c r="T50" s="4"/>
    </row>
    <row r="51" spans="1:20">
      <c r="A51" s="4"/>
      <c r="T51" s="4"/>
    </row>
    <row r="52" spans="1:20">
      <c r="A52" s="4"/>
      <c r="T52" s="4"/>
    </row>
    <row r="53" spans="1:20">
      <c r="A53" s="4"/>
      <c r="T53" s="4"/>
    </row>
    <row r="54" spans="1:20">
      <c r="A54" s="4"/>
      <c r="T54" s="4"/>
    </row>
    <row r="55" spans="1:20">
      <c r="A55" s="4"/>
      <c r="T55" s="4"/>
    </row>
    <row r="56" spans="1:20">
      <c r="A56" s="4"/>
      <c r="T56" s="4"/>
    </row>
    <row r="57" spans="1:20">
      <c r="A57" s="4"/>
      <c r="T57" s="4"/>
    </row>
    <row r="58" spans="1:20">
      <c r="A58" s="4"/>
      <c r="T58" s="4"/>
    </row>
    <row r="59" spans="1:20">
      <c r="A59" s="4"/>
      <c r="T59" s="4"/>
    </row>
    <row r="60" spans="1:20">
      <c r="A60" s="4"/>
      <c r="T60" s="4"/>
    </row>
    <row r="61" spans="1:20">
      <c r="A61" s="4"/>
      <c r="T61" s="4"/>
    </row>
    <row r="62" spans="1:20">
      <c r="A62" s="4"/>
      <c r="T62" s="4"/>
    </row>
    <row r="63" spans="1:20">
      <c r="A63" s="4"/>
      <c r="T63" s="4"/>
    </row>
    <row r="64" spans="1:20">
      <c r="A64" s="4"/>
      <c r="T64" s="4"/>
    </row>
    <row r="65" spans="1:20">
      <c r="A65" s="4"/>
      <c r="T65" s="4"/>
    </row>
    <row r="66" spans="1:20">
      <c r="A66" s="4"/>
      <c r="T66" s="4"/>
    </row>
    <row r="67" spans="1:20">
      <c r="A67" s="4"/>
      <c r="T67" s="4"/>
    </row>
    <row r="68" spans="1:20">
      <c r="A68" s="4"/>
      <c r="T68" s="4"/>
    </row>
    <row r="69" spans="1:20">
      <c r="A69" s="4"/>
      <c r="T69" s="4"/>
    </row>
    <row r="70" spans="1:20">
      <c r="A70" s="4"/>
      <c r="T70" s="4"/>
    </row>
    <row r="71" spans="1:20">
      <c r="A71" s="4"/>
      <c r="T71" s="4"/>
    </row>
    <row r="72" spans="1:20">
      <c r="A72" s="4"/>
      <c r="T72" s="4"/>
    </row>
    <row r="73" spans="1:20">
      <c r="A73" s="4"/>
      <c r="T73" s="4"/>
    </row>
    <row r="74" spans="1:20">
      <c r="A74" s="4"/>
      <c r="T74" s="4"/>
    </row>
    <row r="75" spans="1:20">
      <c r="A75" s="4"/>
      <c r="T75" s="4"/>
    </row>
    <row r="76" spans="1:20">
      <c r="A76" s="4"/>
      <c r="T76" s="4"/>
    </row>
    <row r="77" spans="1:20">
      <c r="A77" s="4"/>
      <c r="T77" s="4"/>
    </row>
    <row r="78" spans="1:20">
      <c r="A78" s="4"/>
      <c r="T78" s="4"/>
    </row>
    <row r="79" spans="1:20">
      <c r="A79" s="4"/>
      <c r="T79" s="4"/>
    </row>
    <row r="80" spans="1:20">
      <c r="A80" s="4"/>
      <c r="T80" s="4"/>
    </row>
    <row r="81" spans="1:20">
      <c r="A81" s="4"/>
      <c r="T81" s="4"/>
    </row>
    <row r="82" spans="1:20">
      <c r="A82" s="4"/>
      <c r="T82" s="4"/>
    </row>
    <row r="83" spans="1:20">
      <c r="A83" s="4"/>
      <c r="T83" s="4"/>
    </row>
    <row r="84" spans="1:20">
      <c r="A84" s="4"/>
      <c r="T84" s="4"/>
    </row>
    <row r="85" spans="1:20">
      <c r="A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</sheetData>
  <mergeCells count="3">
    <mergeCell ref="B2:E2"/>
    <mergeCell ref="C3:E3"/>
    <mergeCell ref="G2:S3"/>
  </mergeCells>
  <phoneticPr fontId="5" type="noConversion"/>
  <conditionalFormatting sqref="E14:E30">
    <cfRule type="cellIs" dxfId="10" priority="6" operator="lessThan">
      <formula>0</formula>
    </cfRule>
    <cfRule type="cellIs" dxfId="9" priority="7" operator="greaterThan">
      <formula>0</formula>
    </cfRule>
  </conditionalFormatting>
  <conditionalFormatting sqref="G5:R5">
    <cfRule type="colorScale" priority="10">
      <colorScale>
        <cfvo type="min"/>
        <cfvo type="max"/>
        <color rgb="FFFCFCFF"/>
        <color rgb="FF63BE7B"/>
      </colorScale>
    </cfRule>
  </conditionalFormatting>
  <conditionalFormatting sqref="G6:R10">
    <cfRule type="colorScale" priority="9">
      <colorScale>
        <cfvo type="min"/>
        <cfvo type="max"/>
        <color rgb="FFFCFCFF"/>
        <color rgb="FF63BE7B"/>
      </colorScale>
    </cfRule>
  </conditionalFormatting>
  <conditionalFormatting sqref="G14:R30">
    <cfRule type="colorScale" priority="48">
      <colorScale>
        <cfvo type="min"/>
        <cfvo type="max"/>
        <color rgb="FFFCFCFF"/>
        <color rgb="FFF8696B"/>
      </colorScale>
    </cfRule>
  </conditionalFormatting>
  <conditionalFormatting sqref="G34:S34">
    <cfRule type="cellIs" dxfId="8" priority="4" operator="lessThan">
      <formula>0</formula>
    </cfRule>
    <cfRule type="cellIs" dxfId="7" priority="5" operator="greaterThan">
      <formula>0</formula>
    </cfRule>
  </conditionalFormatting>
  <dataValidations count="1">
    <dataValidation type="list" allowBlank="1" showInputMessage="1" showErrorMessage="1" sqref="C3" xr:uid="{78A2F0F5-403B-4A2F-BB56-5411C9E51DD4}">
      <formula1>"January, February, March, April, May, June, July, August, September, October, November, December"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4A4D-1EC9-483E-858A-DA417BE9BEA0}">
  <sheetPr>
    <tabColor theme="5" tint="0.39997558519241921"/>
  </sheetPr>
  <dimension ref="A1:E89"/>
  <sheetViews>
    <sheetView workbookViewId="0">
      <selection activeCell="I11" sqref="I11"/>
    </sheetView>
  </sheetViews>
  <sheetFormatPr defaultRowHeight="15"/>
  <cols>
    <col min="1" max="1" width="26.5703125" bestFit="1" customWidth="1"/>
    <col min="2" max="2" width="11.140625" bestFit="1" customWidth="1"/>
    <col min="3" max="3" width="19.28515625" bestFit="1" customWidth="1"/>
    <col min="4" max="4" width="38.42578125" bestFit="1" customWidth="1"/>
  </cols>
  <sheetData>
    <row r="1" spans="1:5">
      <c r="A1" s="57" t="s">
        <v>161</v>
      </c>
      <c r="B1" s="57" t="s">
        <v>162</v>
      </c>
      <c r="C1" s="57" t="s">
        <v>163</v>
      </c>
      <c r="D1" s="57" t="s">
        <v>164</v>
      </c>
      <c r="E1" s="58" t="s">
        <v>165</v>
      </c>
    </row>
    <row r="2" spans="1:5">
      <c r="A2" s="43" t="s">
        <v>166</v>
      </c>
      <c r="B2" s="69">
        <v>46046</v>
      </c>
      <c r="C2" s="56" t="s">
        <v>167</v>
      </c>
      <c r="D2" s="43" t="s">
        <v>168</v>
      </c>
      <c r="E2" s="54" t="s">
        <v>169</v>
      </c>
    </row>
    <row r="3" spans="1:5">
      <c r="A3" s="61" t="s">
        <v>166</v>
      </c>
      <c r="B3" s="42">
        <v>46054</v>
      </c>
      <c r="C3" s="62" t="s">
        <v>167</v>
      </c>
      <c r="D3" s="63" t="s">
        <v>168</v>
      </c>
      <c r="E3" s="43" t="s">
        <v>169</v>
      </c>
    </row>
    <row r="4" spans="1:5">
      <c r="A4" s="49" t="s">
        <v>170</v>
      </c>
      <c r="B4" s="42">
        <v>46059</v>
      </c>
      <c r="C4" s="62" t="s">
        <v>167</v>
      </c>
      <c r="D4" s="63" t="s">
        <v>171</v>
      </c>
      <c r="E4" s="43" t="s">
        <v>169</v>
      </c>
    </row>
    <row r="5" spans="1:5">
      <c r="A5" s="49" t="s">
        <v>170</v>
      </c>
      <c r="B5" s="42">
        <v>46063</v>
      </c>
      <c r="C5" s="62" t="s">
        <v>167</v>
      </c>
      <c r="D5" s="63" t="s">
        <v>171</v>
      </c>
      <c r="E5" s="43" t="s">
        <v>169</v>
      </c>
    </row>
    <row r="6" spans="1:5">
      <c r="A6" s="49" t="s">
        <v>170</v>
      </c>
      <c r="B6" s="65">
        <v>46067</v>
      </c>
      <c r="C6" s="62" t="s">
        <v>167</v>
      </c>
      <c r="D6" s="63" t="s">
        <v>171</v>
      </c>
      <c r="E6" s="43" t="s">
        <v>169</v>
      </c>
    </row>
    <row r="7" spans="1:5">
      <c r="A7" s="44"/>
      <c r="B7" s="45"/>
      <c r="C7" s="67"/>
      <c r="D7" s="53"/>
      <c r="E7" s="53"/>
    </row>
    <row r="8" spans="1:5">
      <c r="A8" s="63"/>
      <c r="B8" s="42"/>
      <c r="C8" s="67"/>
      <c r="D8" s="43"/>
      <c r="E8" s="63"/>
    </row>
    <row r="9" spans="1:5">
      <c r="A9" s="63"/>
      <c r="B9" s="42"/>
      <c r="C9" s="67"/>
      <c r="D9" s="43"/>
      <c r="E9" s="63"/>
    </row>
    <row r="10" spans="1:5">
      <c r="A10" s="63"/>
      <c r="B10" s="42"/>
      <c r="C10" s="67"/>
      <c r="D10" s="43"/>
      <c r="E10" s="63"/>
    </row>
    <row r="11" spans="1:5">
      <c r="A11" s="61"/>
      <c r="B11" s="65"/>
      <c r="C11" s="64"/>
      <c r="D11" s="66"/>
      <c r="E11" s="61"/>
    </row>
    <row r="12" spans="1:5">
      <c r="A12" s="49"/>
      <c r="B12" s="68"/>
      <c r="C12" s="51"/>
      <c r="D12" s="52"/>
      <c r="E12" s="49"/>
    </row>
    <row r="13" spans="1:5">
      <c r="A13" s="47"/>
      <c r="B13" s="45"/>
      <c r="C13" s="48"/>
      <c r="D13" s="46"/>
      <c r="E13" s="55"/>
    </row>
    <row r="14" spans="1:5">
      <c r="A14" s="47"/>
      <c r="B14" s="45"/>
      <c r="C14" s="48"/>
      <c r="D14" s="46"/>
      <c r="E14" s="55"/>
    </row>
    <row r="15" spans="1:5">
      <c r="A15" s="47"/>
      <c r="B15" s="45"/>
      <c r="C15" s="48"/>
      <c r="D15" s="46"/>
      <c r="E15" s="55"/>
    </row>
    <row r="16" spans="1:5">
      <c r="A16" s="47"/>
      <c r="B16" s="45"/>
      <c r="C16" s="48"/>
      <c r="D16" s="46"/>
      <c r="E16" s="55"/>
    </row>
    <row r="17" spans="1:5">
      <c r="A17" s="47"/>
      <c r="B17" s="45"/>
      <c r="C17" s="48"/>
      <c r="D17" s="46"/>
      <c r="E17" s="55"/>
    </row>
    <row r="18" spans="1:5">
      <c r="A18" s="47"/>
      <c r="B18" s="45"/>
      <c r="C18" s="48"/>
      <c r="D18" s="46"/>
      <c r="E18" s="55"/>
    </row>
    <row r="19" spans="1:5">
      <c r="A19" s="44"/>
      <c r="B19" s="47"/>
      <c r="C19" s="48"/>
      <c r="D19" s="46"/>
      <c r="E19" s="44"/>
    </row>
    <row r="20" spans="1:5">
      <c r="A20" s="44"/>
      <c r="B20" s="47"/>
      <c r="C20" s="48"/>
      <c r="D20" s="46"/>
      <c r="E20" s="44"/>
    </row>
    <row r="21" spans="1:5">
      <c r="A21" s="44"/>
      <c r="B21" s="47"/>
      <c r="C21" s="48"/>
      <c r="D21" s="46"/>
      <c r="E21" s="44"/>
    </row>
    <row r="22" spans="1:5">
      <c r="A22" s="44"/>
      <c r="B22" s="47"/>
      <c r="C22" s="48"/>
      <c r="D22" s="46"/>
      <c r="E22" s="44"/>
    </row>
    <row r="23" spans="1:5">
      <c r="A23" s="44"/>
      <c r="B23" s="47"/>
      <c r="C23" s="48"/>
      <c r="D23" s="46"/>
      <c r="E23" s="44"/>
    </row>
    <row r="24" spans="1:5">
      <c r="A24" s="44"/>
      <c r="B24" s="47"/>
      <c r="C24" s="48"/>
      <c r="D24" s="46"/>
      <c r="E24" s="44"/>
    </row>
    <row r="25" spans="1:5">
      <c r="A25" s="44"/>
      <c r="B25" s="47"/>
      <c r="C25" s="48"/>
      <c r="D25" s="46"/>
      <c r="E25" s="44"/>
    </row>
    <row r="26" spans="1:5">
      <c r="A26" s="44"/>
      <c r="B26" s="47"/>
      <c r="C26" s="48"/>
      <c r="D26" s="46"/>
      <c r="E26" s="44"/>
    </row>
    <row r="27" spans="1:5">
      <c r="A27" s="44"/>
      <c r="B27" s="47"/>
      <c r="C27" s="48"/>
      <c r="D27" s="46"/>
      <c r="E27" s="44"/>
    </row>
    <row r="28" spans="1:5">
      <c r="A28" s="44"/>
      <c r="B28" s="47"/>
      <c r="C28" s="48"/>
      <c r="D28" s="46"/>
      <c r="E28" s="44"/>
    </row>
    <row r="29" spans="1:5">
      <c r="A29" s="44"/>
      <c r="B29" s="47"/>
      <c r="C29" s="48"/>
      <c r="D29" s="46"/>
      <c r="E29" s="44"/>
    </row>
    <row r="30" spans="1:5">
      <c r="A30" s="44"/>
      <c r="B30" s="47"/>
      <c r="C30" s="48"/>
      <c r="D30" s="46"/>
      <c r="E30" s="44"/>
    </row>
    <row r="31" spans="1:5">
      <c r="A31" s="44"/>
      <c r="B31" s="47"/>
      <c r="C31" s="48"/>
      <c r="D31" s="46"/>
      <c r="E31" s="44"/>
    </row>
    <row r="32" spans="1:5">
      <c r="A32" s="44"/>
      <c r="B32" s="47"/>
      <c r="C32" s="48"/>
      <c r="D32" s="46"/>
      <c r="E32" s="44"/>
    </row>
    <row r="33" spans="1:5">
      <c r="A33" s="44"/>
      <c r="B33" s="47"/>
      <c r="C33" s="48"/>
      <c r="D33" s="46"/>
      <c r="E33" s="44"/>
    </row>
    <row r="34" spans="1:5">
      <c r="A34" s="44"/>
      <c r="B34" s="47"/>
      <c r="C34" s="48"/>
      <c r="D34" s="46"/>
      <c r="E34" s="44"/>
    </row>
    <row r="35" spans="1:5">
      <c r="A35" s="44"/>
      <c r="B35" s="47"/>
      <c r="C35" s="48"/>
      <c r="D35" s="46"/>
      <c r="E35" s="44"/>
    </row>
    <row r="36" spans="1:5">
      <c r="A36" s="44"/>
      <c r="B36" s="47"/>
      <c r="C36" s="48"/>
      <c r="D36" s="46"/>
      <c r="E36" s="44"/>
    </row>
    <row r="37" spans="1:5">
      <c r="A37" s="44"/>
      <c r="B37" s="47"/>
      <c r="C37" s="48"/>
      <c r="D37" s="46"/>
      <c r="E37" s="44"/>
    </row>
    <row r="38" spans="1:5">
      <c r="A38" s="44"/>
      <c r="B38" s="47"/>
      <c r="C38" s="48"/>
      <c r="D38" s="46"/>
      <c r="E38" s="44"/>
    </row>
    <row r="39" spans="1:5">
      <c r="A39" s="44"/>
      <c r="B39" s="47"/>
      <c r="C39" s="48"/>
      <c r="D39" s="46"/>
      <c r="E39" s="44"/>
    </row>
    <row r="40" spans="1:5">
      <c r="A40" s="44"/>
      <c r="B40" s="47"/>
      <c r="C40" s="48"/>
      <c r="D40" s="46"/>
      <c r="E40" s="44"/>
    </row>
    <row r="41" spans="1:5">
      <c r="A41" s="44"/>
      <c r="B41" s="47"/>
      <c r="C41" s="48"/>
      <c r="D41" s="46"/>
      <c r="E41" s="44"/>
    </row>
    <row r="42" spans="1:5">
      <c r="A42" s="44"/>
      <c r="B42" s="47"/>
      <c r="C42" s="48"/>
      <c r="D42" s="46"/>
      <c r="E42" s="44"/>
    </row>
    <row r="43" spans="1:5">
      <c r="A43" s="44"/>
      <c r="B43" s="47"/>
      <c r="C43" s="48"/>
      <c r="D43" s="46"/>
      <c r="E43" s="44"/>
    </row>
    <row r="44" spans="1:5">
      <c r="A44" s="44"/>
      <c r="B44" s="47"/>
      <c r="C44" s="48"/>
      <c r="D44" s="46"/>
      <c r="E44" s="44"/>
    </row>
    <row r="45" spans="1:5">
      <c r="A45" s="44"/>
      <c r="B45" s="47"/>
      <c r="C45" s="48"/>
      <c r="D45" s="46"/>
      <c r="E45" s="44"/>
    </row>
    <row r="46" spans="1:5">
      <c r="A46" s="44"/>
      <c r="B46" s="47"/>
      <c r="C46" s="48"/>
      <c r="D46" s="46"/>
      <c r="E46" s="44"/>
    </row>
    <row r="47" spans="1:5">
      <c r="A47" s="44"/>
      <c r="B47" s="47"/>
      <c r="C47" s="48"/>
      <c r="D47" s="46"/>
      <c r="E47" s="44"/>
    </row>
    <row r="48" spans="1:5">
      <c r="A48" s="44"/>
      <c r="B48" s="47"/>
      <c r="C48" s="48"/>
      <c r="D48" s="46"/>
      <c r="E48" s="44"/>
    </row>
    <row r="49" spans="1:5">
      <c r="A49" s="44"/>
      <c r="B49" s="47"/>
      <c r="C49" s="48"/>
      <c r="D49" s="46"/>
      <c r="E49" s="44"/>
    </row>
    <row r="50" spans="1:5">
      <c r="A50" s="44"/>
      <c r="B50" s="47"/>
      <c r="C50" s="48"/>
      <c r="D50" s="46"/>
      <c r="E50" s="44"/>
    </row>
    <row r="51" spans="1:5">
      <c r="A51" s="44"/>
      <c r="B51" s="47"/>
      <c r="C51" s="48"/>
      <c r="D51" s="46"/>
      <c r="E51" s="44"/>
    </row>
    <row r="52" spans="1:5">
      <c r="A52" s="44"/>
      <c r="B52" s="47"/>
      <c r="C52" s="48"/>
      <c r="D52" s="46"/>
      <c r="E52" s="44"/>
    </row>
    <row r="53" spans="1:5">
      <c r="A53" s="44"/>
      <c r="B53" s="47"/>
      <c r="C53" s="48"/>
      <c r="D53" s="46"/>
      <c r="E53" s="44"/>
    </row>
    <row r="54" spans="1:5">
      <c r="A54" s="44"/>
      <c r="B54" s="47"/>
      <c r="C54" s="48"/>
      <c r="D54" s="46"/>
      <c r="E54" s="44"/>
    </row>
    <row r="55" spans="1:5">
      <c r="A55" s="44"/>
      <c r="B55" s="47"/>
      <c r="C55" s="48"/>
      <c r="D55" s="46"/>
      <c r="E55" s="44"/>
    </row>
    <row r="56" spans="1:5">
      <c r="A56" s="44"/>
      <c r="B56" s="47"/>
      <c r="C56" s="48"/>
      <c r="D56" s="46"/>
      <c r="E56" s="44"/>
    </row>
    <row r="57" spans="1:5">
      <c r="A57" s="44"/>
      <c r="B57" s="47"/>
      <c r="C57" s="48"/>
      <c r="D57" s="46"/>
      <c r="E57" s="44"/>
    </row>
    <row r="58" spans="1:5">
      <c r="A58" s="44"/>
      <c r="B58" s="47"/>
      <c r="C58" s="48"/>
      <c r="D58" s="46"/>
      <c r="E58" s="44"/>
    </row>
    <row r="59" spans="1:5">
      <c r="A59" s="44"/>
      <c r="B59" s="47"/>
      <c r="C59" s="48"/>
      <c r="D59" s="46"/>
      <c r="E59" s="44"/>
    </row>
    <row r="60" spans="1:5">
      <c r="A60" s="44"/>
      <c r="B60" s="47"/>
      <c r="C60" s="48"/>
      <c r="D60" s="46"/>
      <c r="E60" s="44"/>
    </row>
    <row r="61" spans="1:5">
      <c r="A61" s="44"/>
      <c r="B61" s="47"/>
      <c r="C61" s="48"/>
      <c r="D61" s="46"/>
      <c r="E61" s="44"/>
    </row>
    <row r="62" spans="1:5">
      <c r="A62" s="44"/>
      <c r="B62" s="47"/>
      <c r="C62" s="48"/>
      <c r="D62" s="46"/>
      <c r="E62" s="44"/>
    </row>
    <row r="63" spans="1:5">
      <c r="A63" s="44"/>
      <c r="B63" s="47"/>
      <c r="C63" s="48"/>
      <c r="D63" s="46"/>
      <c r="E63" s="44"/>
    </row>
    <row r="64" spans="1:5">
      <c r="A64" s="44"/>
      <c r="B64" s="47"/>
      <c r="C64" s="48"/>
      <c r="D64" s="46"/>
      <c r="E64" s="44"/>
    </row>
    <row r="65" spans="1:5">
      <c r="A65" s="44"/>
      <c r="B65" s="47"/>
      <c r="C65" s="48"/>
      <c r="D65" s="46"/>
      <c r="E65" s="44"/>
    </row>
    <row r="66" spans="1:5">
      <c r="A66" s="44"/>
      <c r="B66" s="47"/>
      <c r="C66" s="48"/>
      <c r="D66" s="46"/>
      <c r="E66" s="44"/>
    </row>
    <row r="67" spans="1:5">
      <c r="A67" s="44"/>
      <c r="B67" s="47"/>
      <c r="C67" s="48"/>
      <c r="D67" s="46"/>
      <c r="E67" s="44"/>
    </row>
    <row r="68" spans="1:5">
      <c r="A68" s="44"/>
      <c r="B68" s="47"/>
      <c r="C68" s="48"/>
      <c r="D68" s="46"/>
      <c r="E68" s="44"/>
    </row>
    <row r="69" spans="1:5">
      <c r="A69" s="44"/>
      <c r="B69" s="47"/>
      <c r="C69" s="48"/>
      <c r="D69" s="46"/>
      <c r="E69" s="44"/>
    </row>
    <row r="70" spans="1:5">
      <c r="A70" s="44"/>
      <c r="B70" s="47"/>
      <c r="C70" s="48"/>
      <c r="D70" s="46"/>
      <c r="E70" s="44"/>
    </row>
    <row r="71" spans="1:5">
      <c r="A71" s="44"/>
      <c r="B71" s="47"/>
      <c r="C71" s="48"/>
      <c r="D71" s="46"/>
      <c r="E71" s="44"/>
    </row>
    <row r="72" spans="1:5">
      <c r="A72" s="44"/>
      <c r="B72" s="47"/>
      <c r="C72" s="48"/>
      <c r="D72" s="46"/>
      <c r="E72" s="44"/>
    </row>
    <row r="73" spans="1:5">
      <c r="A73" s="44"/>
      <c r="B73" s="47"/>
      <c r="C73" s="48"/>
      <c r="D73" s="46"/>
      <c r="E73" s="44"/>
    </row>
    <row r="74" spans="1:5">
      <c r="A74" s="44"/>
      <c r="B74" s="47"/>
      <c r="C74" s="48"/>
      <c r="D74" s="46"/>
      <c r="E74" s="44"/>
    </row>
    <row r="75" spans="1:5">
      <c r="A75" s="44"/>
      <c r="B75" s="47"/>
      <c r="C75" s="48"/>
      <c r="D75" s="46"/>
      <c r="E75" s="44"/>
    </row>
    <row r="76" spans="1:5">
      <c r="A76" s="44"/>
      <c r="B76" s="47"/>
      <c r="C76" s="48"/>
      <c r="D76" s="46"/>
      <c r="E76" s="44"/>
    </row>
    <row r="77" spans="1:5">
      <c r="A77" s="44"/>
      <c r="B77" s="47"/>
      <c r="C77" s="48"/>
      <c r="D77" s="46"/>
      <c r="E77" s="44"/>
    </row>
    <row r="78" spans="1:5">
      <c r="A78" s="44"/>
      <c r="B78" s="47"/>
      <c r="C78" s="48"/>
      <c r="D78" s="46"/>
      <c r="E78" s="44"/>
    </row>
    <row r="79" spans="1:5">
      <c r="A79" s="44"/>
      <c r="B79" s="47"/>
      <c r="C79" s="48"/>
      <c r="D79" s="46"/>
      <c r="E79" s="44"/>
    </row>
    <row r="80" spans="1:5">
      <c r="A80" s="44"/>
      <c r="B80" s="47"/>
      <c r="C80" s="48"/>
      <c r="D80" s="46"/>
      <c r="E80" s="44"/>
    </row>
    <row r="81" spans="1:5">
      <c r="A81" s="44"/>
      <c r="B81" s="47"/>
      <c r="C81" s="48"/>
      <c r="D81" s="46"/>
      <c r="E81" s="44"/>
    </row>
    <row r="82" spans="1:5">
      <c r="A82" s="44"/>
      <c r="B82" s="47"/>
      <c r="C82" s="48"/>
      <c r="D82" s="46"/>
      <c r="E82" s="44"/>
    </row>
    <row r="83" spans="1:5">
      <c r="A83" s="44"/>
      <c r="B83" s="47"/>
      <c r="C83" s="48"/>
      <c r="D83" s="46"/>
      <c r="E83" s="44"/>
    </row>
    <row r="84" spans="1:5">
      <c r="A84" s="44"/>
      <c r="B84" s="47"/>
      <c r="C84" s="48"/>
      <c r="D84" s="46"/>
      <c r="E84" s="44"/>
    </row>
    <row r="85" spans="1:5">
      <c r="A85" s="44"/>
      <c r="B85" s="47"/>
      <c r="C85" s="48"/>
      <c r="D85" s="46"/>
      <c r="E85" s="44"/>
    </row>
    <row r="86" spans="1:5">
      <c r="A86" s="44"/>
      <c r="B86" s="47"/>
      <c r="C86" s="48"/>
      <c r="D86" s="46"/>
      <c r="E86" s="44"/>
    </row>
    <row r="87" spans="1:5">
      <c r="A87" s="44"/>
      <c r="B87" s="47"/>
      <c r="C87" s="48"/>
      <c r="D87" s="46"/>
      <c r="E87" s="44"/>
    </row>
    <row r="88" spans="1:5">
      <c r="A88" s="44"/>
      <c r="B88" s="47"/>
      <c r="C88" s="48"/>
      <c r="D88" s="46"/>
      <c r="E88" s="44"/>
    </row>
    <row r="89" spans="1:5">
      <c r="A89" s="49"/>
      <c r="B89" s="50"/>
      <c r="C89" s="51"/>
      <c r="D89" s="52"/>
      <c r="E89" s="4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Olson</dc:creator>
  <cp:keywords/>
  <dc:description/>
  <cp:lastModifiedBy>Eric Olson</cp:lastModifiedBy>
  <cp:revision/>
  <dcterms:created xsi:type="dcterms:W3CDTF">2022-06-10T19:57:03Z</dcterms:created>
  <dcterms:modified xsi:type="dcterms:W3CDTF">2026-02-21T19:31:26Z</dcterms:modified>
  <cp:category/>
  <cp:contentStatus/>
</cp:coreProperties>
</file>